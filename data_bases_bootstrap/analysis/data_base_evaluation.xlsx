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20251104.wos" sheetId="1" r:id="rId4"/>
    <sheet state="visible" name="1_20251104.wos.table" sheetId="2" r:id="rId5"/>
    <sheet state="visible" name="1_20251104.wos_results" sheetId="3" r:id="rId6"/>
    <sheet state="visible" name="scopus_export_Nov 16-2025_filte" sheetId="4" r:id="rId7"/>
    <sheet state="visible" name="Página5" sheetId="5" r:id="rId8"/>
    <sheet state="visible" name="scopus_results" sheetId="6" r:id="rId9"/>
  </sheets>
  <definedNames/>
  <calcPr/>
</workbook>
</file>

<file path=xl/sharedStrings.xml><?xml version="1.0" encoding="utf-8"?>
<sst xmlns="http://schemas.openxmlformats.org/spreadsheetml/2006/main" count="1653" uniqueCount="1065">
  <si>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</si>
  <si>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</si>
  <si>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</si>
  <si>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</si>
  <si>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</si>
  <si>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</si>
  <si>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</si>
  <si>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</si>
  <si>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</si>
  <si>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</si>
  <si>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</si>
  <si>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</si>
  <si>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</si>
  <si>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</si>
  <si>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</si>
  <si>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</si>
  <si>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</si>
  <si>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</si>
  <si>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</si>
  <si>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</si>
  <si>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</si>
  <si>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</si>
  <si>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</si>
  <si>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</si>
  <si>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</si>
  <si>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</si>
  <si>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</si>
  <si>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</si>
  <si>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</si>
  <si>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</si>
  <si>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</si>
  <si>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</si>
  <si>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</si>
  <si>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</si>
  <si>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</si>
  <si>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</si>
  <si>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</si>
  <si>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</si>
  <si>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</si>
  <si>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</si>
  <si>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</si>
  <si>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</si>
  <si>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</si>
  <si>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</si>
  <si>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</si>
  <si>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</si>
  <si>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</si>
  <si>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</si>
  <si>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</si>
  <si>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</si>
  <si>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</si>
  <si>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</si>
  <si>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</si>
  <si>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</si>
  <si>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</si>
  <si>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</si>
  <si>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</si>
  <si>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</si>
  <si>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</si>
  <si>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</si>
  <si>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</si>
  <si>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</si>
  <si>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</si>
  <si>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</si>
  <si>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</si>
  <si>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</si>
  <si>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</si>
  <si>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</si>
  <si>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</si>
  <si>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</si>
  <si>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</si>
  <si>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</si>
  <si>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</si>
  <si>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Jones, D; Snider, C; Nassehi, A; Yon, J; Hicks, B</t>
  </si>
  <si>
    <t/>
  </si>
  <si>
    <t>Jones, David; Snider, Chris; Nassehi, Aydin; Yon, Jason; Hicks, Ben</t>
  </si>
  <si>
    <t>Characterising the Digital Twin: A systematic literature review</t>
  </si>
  <si>
    <t>CIRP JOURNAL OF MANUFACTURING SCIENCE AND TECHNOLOGY</t>
  </si>
  <si>
    <t>English</t>
  </si>
  <si>
    <t>Review</t>
  </si>
  <si>
    <t>Digital Twin; Virtual Twin</t>
  </si>
  <si>
    <t>MODEL-PREDICTIVE CONTROL; SERVICE; DESIGN; FUTURE; METHODOLOGY; INFORMATION; ENVIRONMENT; AUTOMATION; SIMULATION</t>
  </si>
  <si>
    <t>While there has been a recent growth of interest in the Digital Twin, a variety of definitions employed across industry and academia remain. There is a need to consolidate research such to maintain a common understanding of the topic and ensure future research efforts are to be based on solid foundations. Through a systematic literature review and a thematic analysis of 92 Digital Twin publications from the last ten years, this paper provides a characterisation of the Digital Twin, identification of gaps in knowledge, and required areas of future research. In characterising the Digital Twin, the state of the concept, key terminology, and associated processes are identified, discussed, and consolidated to produce 13 characteristics (Physical Entity/Twin; Virtual Entity/Twin; Physical Environment; Virtual Environment; State; Realisation; Metrology; Twinning; Twinning Rate; Physical-to-Virtual Connection/Twinning; Virtual-to-Physical Connection/Twinning; Physical Processes; and Virtual Processes) and a complete framework of the Digital Twin and its process of operation. Following this characterisation, seven knowledge gaps and topics for future research focus are identified: Perceived Benefits; Digital Twin across the Product Life-Cycle; Use-Cases; Technical Implementations; Levels of Fidelity; Data Ownership; and Integration between Virtual Entities; each of which are required to realise the Digital Twin. (C) 2020 University of Bristol.</t>
  </si>
  <si>
    <t>[Jones, David; Snider, Chris; Nassehi, Aydin; Yon, Jason; Hicks, Ben] Univ Bristol, Dept Mech Engn, Queens Bldg, Bristol BS8 1TR, Avon, England</t>
  </si>
  <si>
    <t>University of Bristol</t>
  </si>
  <si>
    <t>Jones, D (corresponding author), Univ Bristol, Dept Mech Engn, Queens Bldg, Bristol BS8 1TR, Avon, England.</t>
  </si>
  <si>
    <t>david.jones@bristol.ac.uk; chris.snider@bristol.ac.uk; aydin.nassehi@bristol.ac.uk; jason.yon.02@bristol.ac.uk; ben.hicks@bristol.ac.uk</t>
  </si>
  <si>
    <t>; Hicks, Ben/A-9185-2010; Snider, Chris/AAR-6791-2020; Nassehi, Aydin/C-6810-2008</t>
  </si>
  <si>
    <t>Hicks, Ben/0000-0001-8294-4694; Snider, Chris/0000-0003-2692-110X; Yon, Jason/0000-0002-9384-4311; Nassehi, Aydin/0000-0003-3417-3391; Jones, David/0000-0002-6209-2698</t>
  </si>
  <si>
    <t>Engineering and Physical Sciences Research Council (EPSRC) [EP/R032696/1]; EPSRC [EP/R032696/1] Funding Source: UKRI</t>
  </si>
  <si>
    <t>Engineering and Physical Sciences Research Council (EPSRC)(UK Research &amp; Innovation (UKRI)Engineering &amp; Physical Sciences Research Council (EPSRC)); EPSRC(UK Research &amp; Innovation (UKRI)Engineering &amp; Physical Sciences Research Council (EPSRC))</t>
  </si>
  <si>
    <t>The work reported in this paper has been undertaken as part of the project: Improving the product development process through integrated revision control and twinning of digital-physical models during prototyping. The work was conducted at the University of Bristol in the Design and Manufacturing Futures Lab (http://www.dmf-lab.co.uk) and is funded by the Engineering and Physical Sciences Research Council (EPSRC), Grant reference EP/R032696/1.</t>
  </si>
  <si>
    <t>ELSEVIER</t>
  </si>
  <si>
    <t>AMSTERDAM</t>
  </si>
  <si>
    <t>RADARWEG 29, 1043 NX AMSTERDAM, NETHERLANDS</t>
  </si>
  <si>
    <t>1755-5817</t>
  </si>
  <si>
    <t>1878-0016</t>
  </si>
  <si>
    <t>CIRP J MANUF SCI TEC</t>
  </si>
  <si>
    <t>CIRP J. Manuf. Sci. Technol.</t>
  </si>
  <si>
    <t>MAY</t>
  </si>
  <si>
    <t>A</t>
  </si>
  <si>
    <t>10.1016/j.cirpj.2020.02.002</t>
  </si>
  <si>
    <t>Engineering, Manufacturing</t>
  </si>
  <si>
    <t>Science Citation Index Expanded (SCI-EXPANDED)</t>
  </si>
  <si>
    <t>Engineering</t>
  </si>
  <si>
    <t>LY2HI</t>
  </si>
  <si>
    <t>Green Submitted, hybrid</t>
  </si>
  <si>
    <t>Y</t>
  </si>
  <si>
    <t>N</t>
  </si>
  <si>
    <t>2025-11-04</t>
  </si>
  <si>
    <t>WOS:000540340800004</t>
  </si>
  <si>
    <t>Semeraro, C; Lezoche, M; Panetto, H; Dassisti, M</t>
  </si>
  <si>
    <t>Semeraro, Concetta; Lezoche, Mario; Panetto, Herve; Dassisti, Michele</t>
  </si>
  <si>
    <t>Digital twin paradigm: A systematic literature review</t>
  </si>
  <si>
    <t>COMPUTERS IN INDUSTRY</t>
  </si>
  <si>
    <t>Digital twin; Industry 4; 0; Cyber-physical systems; Predictive manufacturing</t>
  </si>
  <si>
    <t>CYBER-PHYSICAL SYSTEMS; INDUSTRY 4.0; BIG DATA; DATA-DRIVEN; MANUFACTURING SYSTEM; FAULT-DIAGNOSIS; THINGS IOT; DESIGN; FUTURE; MODEL</t>
  </si>
  <si>
    <t>Manufacturing enterprises are facing the need to align themselves to the new information technologies (IT) and respond to the new challenges of variable market demand. One of the key enablers of this IT revolution toward Smart Manufacturing is the digital twin (DT). It embeds a virtual image of the real-ity constantly synchronized with the real operating scenario to provide sound information (knowledge model) to reality interpretation model to draw sound decisions. The paper aims at providing an up-to date picture of the main DT components, their features and interaction problems. The paper aims at clearly tracing the ongoing research and technical challenges in conceiving and building DTs as well, according to different application domains and related technologies. To this purpose, the main questions answered here are: 'What is a Digital Twin?'; 'Where is appropriate to use a Digital Twin?'; 'When has a Digital Twin to be developed?'; 'Why should a Digital Twin be used?'; 'How to design and implement a Digital Twin?'; 'What are the main challenges of implementing a Digital Twin?'. This study tries to answer to the previous questions funding on a wide systematic literature review of scientific research, tools, and technicalities in different application domains. (c) 2021 Elsevier B.V. All rights reserved.</t>
  </si>
  <si>
    <t>[Semeraro, Concetta; Lezoche, Mario; Panetto, Herve] Univ Lorraine, CNRS, CRAN, Nancy, France; [Semeraro, Concetta; Dassisti, Michele] Polytech Univ Bari, Dept Mech Management &amp; Math DMMM, Bari, Italy</t>
  </si>
  <si>
    <t>Centre National de la Recherche Scientifique (CNRS); Universite de Lorraine; Politecnico di Bari</t>
  </si>
  <si>
    <t>Semeraro, C (corresponding author), Univ Lorraine, CNRS, CRAN, Nancy, France.</t>
  </si>
  <si>
    <t>concetta.semeraro@univ-lorraine.fr; mario.lezoche@univ-lorraine.fr; herve.panetto@univ-lorraine.fr; michele.dassisti@poliba.it</t>
  </si>
  <si>
    <t>Dassisti, Michele/I-2668-2012; semeraro, concetta/AHA-4914-2022; Panetto, Herve/B-4626-2010; Lezoche, Mario/M-9236-2018; Panetto, Hervé/B-4626-2010</t>
  </si>
  <si>
    <t>Panetto, Herve/0000-0002-5537-2261; SEMERARO, CONCETTA/0000-0001-5152-0004;</t>
  </si>
  <si>
    <t>Italian Ministry of Education, University and Research under the Programme Department of Excellence Legge [232/2016, CUP-D94I18000260001]</t>
  </si>
  <si>
    <t>Italian Ministry of Education, University and Research under the Programme Department of Excellence Legge</t>
  </si>
  <si>
    <t>This work was supported by the Italian Ministry of Education, University and Research under the Programme Department of Excellence Legge 232/2016 (Grant No. CUP-D94I18000260001)</t>
  </si>
  <si>
    <t>0166-3615</t>
  </si>
  <si>
    <t>1872-6194</t>
  </si>
  <si>
    <t>COMPUT IND</t>
  </si>
  <si>
    <t>Comput. Ind.</t>
  </si>
  <si>
    <t>SEP</t>
  </si>
  <si>
    <t>10.1016/j.compind.2021.103469</t>
  </si>
  <si>
    <t>MAY 2021</t>
  </si>
  <si>
    <t>Computer Science, Interdisciplinary Applications</t>
  </si>
  <si>
    <t>Computer Science</t>
  </si>
  <si>
    <t>SM3WX</t>
  </si>
  <si>
    <t>Green Submitted</t>
  </si>
  <si>
    <t>WOS:000657540900006</t>
  </si>
  <si>
    <t>Rathore, MM; Shah, SA; Shukla, D; Bentafat, E; Bakiras, S</t>
  </si>
  <si>
    <t>Rathore, M. Mazhar; Shah, Syed Attique; Shukla, Dhirendra; Bentafat, Elmahdi; Bakiras, Spiridon</t>
  </si>
  <si>
    <t>The Role of AI, Machine Learning, and Big Data in Digital Twinning: A Systematic Literature Review, Challenges, and Opportunities</t>
  </si>
  <si>
    <t>IEEE ACCESS</t>
  </si>
  <si>
    <t>Big Data; Digital twin; Patents; Industries; Systematics; Tools; Libraries; Digital twin; artificial intelligence; machine learning; big data; industry 40</t>
  </si>
  <si>
    <t>HEALTH MANAGEMENT; FAULT-DIAGNOSIS; DATA ANALYTICS; FRAMEWORK; TWINS; ARCHITECTURE; PROGNOSTICS; NETWORKS; SERVICES; DESIGN</t>
  </si>
  <si>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</si>
  <si>
    <t>[Rathore, M. Mazhar; Bentafat, Elmahdi; Bakiras, Spiridon] Hamad Bin Khalifa Univ, Div Informat &amp; Comp Technol, Coll Sci &amp; Engn, Doha, Qatar; [Shah, Syed Attique] Univ Tartu, Inst Comp Sci, Data Syst Grp, EE-51009 Tartu, Estonia; [Shukla, Dhirendra] Univ New Brunswick, Dr J Herbert Smith Ctr, Fredericton, NB E3B 5A3, Canada</t>
  </si>
  <si>
    <t>Qatar Foundation (QF); Hamad Bin Khalifa University-Qatar; University of Tartu; University of New Brunswick</t>
  </si>
  <si>
    <t>Bakiras, S (corresponding author), Hamad Bin Khalifa Univ, Div Informat &amp; Comp Technol, Coll Sci &amp; Engn, Doha, Qatar.</t>
  </si>
  <si>
    <t>sbakiras@hbku.edu.qa</t>
  </si>
  <si>
    <t>; Shah, Syed Attique/ABD-6564-2021</t>
  </si>
  <si>
    <t>Shukla, Dhirendra/0000-0002-0036-714X; Shah, Syed Attique/0000-0003-2949-7391; Bakiras, Spiridon/0000-0002-8964-0746; Rathore, Muhammad Mazhar/0000-0002-0701-9850</t>
  </si>
  <si>
    <t>IEEE-INST ELECTRICAL ELECTRONICS ENGINEERS INC</t>
  </si>
  <si>
    <t>PISCATAWAY</t>
  </si>
  <si>
    <t>445 HOES LANE, PISCATAWAY, NJ 08855-4141 USA</t>
  </si>
  <si>
    <t>2169-3536</t>
  </si>
  <si>
    <t>IEEE Access</t>
  </si>
  <si>
    <t>10.1109/ACCESS.2021.3060863</t>
  </si>
  <si>
    <t>Computer Science, Information Systems; Engineering, Electrical &amp; Electronic; Telecommunications</t>
  </si>
  <si>
    <t>Science Citation Index Expanded (SCI-EXPANDED); Social Science Citation Index (SSCI)</t>
  </si>
  <si>
    <t>Computer Science; Engineering; Telecommunications</t>
  </si>
  <si>
    <t>QO8UB</t>
  </si>
  <si>
    <t>Green Submitted, gold</t>
  </si>
  <si>
    <t>WOS:000623411600001</t>
  </si>
  <si>
    <t>van Dinter, R; Tekinerdogan, B; Catal, C</t>
  </si>
  <si>
    <t>van Dinter, Raymon; Tekinerdogan, Bedir; Catal, Cagatay</t>
  </si>
  <si>
    <t>Predictive maintenance using digital twins: A systematic literature review</t>
  </si>
  <si>
    <t>INFORMATION AND SOFTWARE TECHNOLOGY</t>
  </si>
  <si>
    <t>Systematic literature review; Active learning; Digital twin; Predictive maintenance</t>
  </si>
  <si>
    <t>HEALTH MANAGEMENT; PROGNOSTICS</t>
  </si>
  <si>
    <t>Context: Predictive maintenance is a technique for creating a more sustainable, safe, and profitable industry. One of the key challenges for creating predictive maintenance systems is the lack of failure data, as the machine is frequently repaired before failure. Digital Twins provide a real-time representation of the physical machine and generate data, such as asset degradation, which the predictive maintenance algorithm can use. Since 2018, scientific literature on the utilization of Digital Twins for predictive maintenance has accelerated, indicating the need for a thorough review. Objective: This research aims to gather and synthesize the studies that focus on predictive maintenance using Digital Twins to pave the way for further research. Method: A systematic literature review (SLR) using an active learning tool is conducted on published primary studies on predictive maintenance using Digital Twins, in which 42 primary studies have been analyzed. Results: This SLR identifies several aspects of predictive maintenance using Digital Twins, including the objectives, application domains, Digital Twin platforms, Digital Twin representation types, approaches, abstraction levels, design patterns, communication protocols, twinning parameters, and challenges and solution directions. These results contribute to a Software Engineering approach for developing predictive maintenance using Digital Twins in academics and the industry. Conclusion: This study is the first SLR in predictive maintenance using Digital Twins. We answer key questions for designing a successful predictive maintenance model leveraging Digital Twins. We found that to this day, computational burden, data variety, and complexity of models, assets, or components are the key challenges in designing these models.</t>
  </si>
  <si>
    <t>[van Dinter, Raymon] Sioux Technol, Apeldoorn, Netherlands; [van Dinter, Raymon; Tekinerdogan, Bedir] Wageningen Univ &amp; Res, Informat Technol Grp, Wageningen, Netherlands; [Catal, Cagatay] Qatar Univ, Dept Comp Sci &amp; Engn, Doha, Qatar</t>
  </si>
  <si>
    <t>Wageningen University &amp; Research; Qatar University</t>
  </si>
  <si>
    <t>Tekinerdogan, B (corresponding author), Wageningen Univ &amp; Res, Informat Technol Grp, Wageningen, Netherlands.</t>
  </si>
  <si>
    <t>bedir.tekinerdogan@wur.nl</t>
  </si>
  <si>
    <t>; Tekinerdogan, Bedir/K-3639-2019; van+Dinter, Raymon/ABD-7476-2021; Catal, Cagatay/AAF-3929-2019</t>
  </si>
  <si>
    <t>Tekinerdogan, Bedir/0000-0002-8538-7261; Dinter, van, Raymon/0000-0002-1811-8803</t>
  </si>
  <si>
    <t>0950-5849</t>
  </si>
  <si>
    <t>1873-6025</t>
  </si>
  <si>
    <t>INFORM SOFTWARE TECH</t>
  </si>
  <si>
    <t>Inf. Softw. Technol.</t>
  </si>
  <si>
    <t>NOV</t>
  </si>
  <si>
    <t>10.1016/j.infsof.2022.107008</t>
  </si>
  <si>
    <t>JUL 2022</t>
  </si>
  <si>
    <t>Computer Science, Information Systems; Computer Science, Software Engineering</t>
  </si>
  <si>
    <t>4V5BX</t>
  </si>
  <si>
    <t>Green Accepted, hybrid</t>
  </si>
  <si>
    <t>WOS:000859493100007</t>
  </si>
  <si>
    <t>Liu, X; Jiang, D; Tao, B; Xiang, F; Jiang, GZ; Sun, Y; Kong, JY; Li, GF</t>
  </si>
  <si>
    <t>Liu, Xin; Jiang, Du; Tao, Bo; Xiang, Feng; Jiang, Guozhang; Sun, Ying; Kong, Jianyi; Li, Gongfa</t>
  </si>
  <si>
    <t>A systematic review of digital twin about physical entities, virtual models, twin data, and applications</t>
  </si>
  <si>
    <t>ADVANCED ENGINEERING INFORMATICS</t>
  </si>
  <si>
    <t>Digital Twin; Physical entity; Virtual model; Twin data; Applications</t>
  </si>
  <si>
    <t>INDUSTRY 4.0; FRAMEWORK; OPERATIONS; QUALITY; ARCHITECTURE; PROGNOSTICS; PREDICTION; DESIGN; CLOUD</t>
  </si>
  <si>
    <t>The digital twin is a crucial technology for realizing smart manufacturing and industrial digital transformation, which has received extensive attention and research from industry and academia. After 20 years of development, the application area of digital twins has been pervasive. Due to the diversity of application areas, various reference models and research methods have been presented for the components of the digital twin. Therefore, this paper provides systematic research of current studies on the basic components of the digital twin. This paper analyzed 117 articles from 2017 to 2022. By clarifying the relationship between the digital twin and the cyberphysical system, it first clarified the definition, characteristics, and application areas of the digital twin. On this basis, the research methodology of the core components of the digital twin (physical entities, virtual models, and twin data) is analyzed. At the same time, the application areas of digital twins are analyzed and delineated, and the application potential of the digital twin is explored. Finally, the research results and future research recommendations are presented.</t>
  </si>
  <si>
    <t>[Liu, Xin; Tao, Bo; Kong, Jianyi; Li, Gongfa] Wuhan Univ Sci &amp; Technol, Key Lab Met Equipment &amp; Control Technol, Minist Educ, Wuhan 430081, Peoples R China; [Liu, Xin; Jiang, Du; Jiang, Guozhang; Kong, Jianyi; Li, Gongfa] Wuhan Univ Sci &amp; Technol, Hubei Key Lab Mech Transmiss &amp; Mfg Engn, Wuhan 430081, Peoples R China; [Jiang, Du; Tao, Bo; Xiang, Feng; Sun, Ying; Li, Gongfa] Wuhan Univ Sci &amp; Technol, Res Ctr Biomimet Robot &amp; Intelligent Measurement &amp;, Wuhan 430081, Peoples R China; [Xiang, Feng; Sun, Ying] Wuhan Univ Sci &amp; Technol, Precis Mfg Res Inst, Wuhan 430081, Peoples R China</t>
  </si>
  <si>
    <t>Wuhan University of Science &amp; Technology; Wuhan University of Science &amp; Technology; Wuhan University of Science &amp; Technology; Wuhan University of Science &amp; Technology</t>
  </si>
  <si>
    <t>Li, GF (corresponding author), Wuhan Univ Sci &amp; Technol, Key Lab Met Equipment &amp; Control Technol, Minist Educ, Wuhan 430081, Peoples R China.;Jiang, D; Li, GF (corresponding author), Wuhan Univ Sci &amp; Technol, Hubei Key Lab Mech Transmiss &amp; Mfg Engn, Wuhan 430081, Peoples R China.;Jiang, D; Li, GF (corresponding author), Wuhan Univ Sci &amp; Technol, Res Ctr Biomimet Robot &amp; Intelligent Measurement &amp;, Wuhan 430081, Peoples R China.</t>
  </si>
  <si>
    <t>jiangdu@wust.edu.cn; ligongfa@wust.edu.cn</t>
  </si>
  <si>
    <t>Liu, Xin/KYQ-8886-2024; sun, yong/HPD-0054-2023; jiang, guo/OIS-8385-2025; Bo, Tao/AFE-7417-2022</t>
  </si>
  <si>
    <t>Liu, Xin/0000-0001-6028-9692;</t>
  </si>
  <si>
    <t>National Natural Science Foundation of China [51975431, 51575407]</t>
  </si>
  <si>
    <t>National Natural Science Foundation of China(National Natural Science Foundation of China (NSFC))</t>
  </si>
  <si>
    <t>This research was supported by the National Natural Science Foundation of China (Nos. 51975431, 51575407).</t>
  </si>
  <si>
    <t>ELSEVIER SCI LTD</t>
  </si>
  <si>
    <t>London</t>
  </si>
  <si>
    <t>125 London Wall, London, ENGLAND</t>
  </si>
  <si>
    <t>1474-0346</t>
  </si>
  <si>
    <t>1873-5320</t>
  </si>
  <si>
    <t>ADV ENG INFORM</t>
  </si>
  <si>
    <t>Adv. Eng. Inform.</t>
  </si>
  <si>
    <t>JAN</t>
  </si>
  <si>
    <t>10.1016/j.aei.2023.101876</t>
  </si>
  <si>
    <t>JAN 2023</t>
  </si>
  <si>
    <t>Computer Science, Artificial Intelligence; Engineering, Multidisciplinary</t>
  </si>
  <si>
    <t>Computer Science; Engineering</t>
  </si>
  <si>
    <t>M7MU2</t>
  </si>
  <si>
    <t>WOS:001032030200001</t>
  </si>
  <si>
    <t>Perno, M; Hvam, L; Haug, A</t>
  </si>
  <si>
    <t>Perno, Matteo; Hvam, Lars; Haug, Anders</t>
  </si>
  <si>
    <t>Implementation of digital twins in the process industry: A systematic literature review of enablers and barriers</t>
  </si>
  <si>
    <t>Digital twin; Simulation; Process industry; Literature review; Barrier; Enabler</t>
  </si>
  <si>
    <t>BIG DATA; FUTURE; MODEL; SIMULATION; CHALLENGES; TRANSFORMATION; BLOCKCHAIN; DESIGN; ROLES</t>
  </si>
  <si>
    <t>Since the introduction of the concept of digital twins (DTs) in 2002, the number of practical applications in different industrial sectors has grown rapidly. Despite the hype surrounding this technology, companies face significant challenges upon deciding to implement DTs in their organizations due to the novelty of the concept. Furthermore, little research on DT has been conducted for the process industry, which may be explained by the high complexity of accurately representing and modeling the physics behind production processes. To consolidate the fragmented literature on the enabling factors and challenges in DT implementation in the process industry, this study organizes the existing studies on DTs with a focus on barriers and enablers. On this basis, this study contributes to the existing body of knowledge on DTs by organizing the DT literature and by proposing conceptual models describing enablers of and barriers to DT implementation, as well as their mutual relationships. (C) 2021 The Author(s). Published by Elsevier B.V.</t>
  </si>
  <si>
    <t>[Perno, Matteo; Hvam, Lars] Tech Univ Denmark, Dept Technol Management &amp; Econ, Lyngby, Denmark; [Haug, Anders] Univ Southern Denmark, Dept Entrepreneurship &amp; Relationship Management, Kolding, Denmark; [Perno, Matteo] Akademivej,Bldg 358, DK-2800 Lyngby, Denmark</t>
  </si>
  <si>
    <t>Technical University of Denmark; University of Southern Denmark</t>
  </si>
  <si>
    <t>Perno, M (corresponding author), Tech Univ Denmark, Dept Technol Management &amp; Econ, Lyngby, Denmark.;Perno, M (corresponding author), Akademivej,Bldg 358, DK-2800 Lyngby, Denmark.</t>
  </si>
  <si>
    <t>matper@dtu.dk; lahv@dtu.dk; adg@sam.sdu.dk</t>
  </si>
  <si>
    <t>; Hvam, Lars/O-4313-2014; Haug, Anders/ABE-2706-2020</t>
  </si>
  <si>
    <t>Perno, Matteo/0000-0003-1165-7510; Haug, Anders/0000-0001-6173-6925</t>
  </si>
  <si>
    <t>Manufacturing Academy of Denmark (MADE); Department of Technology, Management and Economics at the Technical University of Denmark; Haldor Topsoe A/S</t>
  </si>
  <si>
    <t>This research was supported by the Manufacturing Academy of Denmark (MADE), the Department of Technology, Management and Economics at the Technical University of Denmark, and Haldor Topsoe A/S.</t>
  </si>
  <si>
    <t>10.1016/j.compind.2021.103558</t>
  </si>
  <si>
    <t>2R1VT</t>
  </si>
  <si>
    <t>hybrid</t>
  </si>
  <si>
    <t>WOS:000820899900007</t>
  </si>
  <si>
    <t>Weil, C; Bibri, SE; Longchamp, R; Golay, F; Alahi, A</t>
  </si>
  <si>
    <t>Weil, Charlotte; Bibri, Simon Elias; Longchamp, Regis; Golay, Francois; Alahi, Alexandre</t>
  </si>
  <si>
    <t>Urban Digital Twin Challenges: A Systematic Review and Perspectives for Sustainable Smart Cities</t>
  </si>
  <si>
    <t>SUSTAINABLE CITIES AND SOCIETY</t>
  </si>
  <si>
    <t>Urban digital twins; Digital twins; Sustainable smart cities; City management; City planning</t>
  </si>
  <si>
    <t>ARTIFICIAL-INTELLIGENCE; CITY; PLATFORM; IMPLEMENTATION; INTEGRATION; TECHNOLOGY; TOOLS</t>
  </si>
  <si>
    <t>Recent scientific and technological advancements have transformed the knowledge frontiers, giving rise to the next wave of disruptive technologies with deep impacts on urban society. An Urban Digital Twin (UDT) is a technology with great potential to transform the management and planning of the infrastructures and systems of sustainable smart cities towards environmental sustainability. However, despite the recent increase of research on UDTs due to its widespread diffusion much more recently, there is a lack of studies examining the existing bottlenecks to its implementation. To fill this gap, this study provides a systematic literature review on the key challenges and open issues pertaining to the implementation of an UDT. Results indicate 8 important categories of challenges related to (1) interoperability and semantics; (2) infrastructure, including storage, computation, network; (3) data acquisition and actuation; (4) data quality and harmonization; (5) modeling, simulation and decision-support; (6) data visualization and information display; (7) human and capital resources; and finally (8) governance, organizational and social issues. All topics are significantly raised in the literature, with most emphasis on issues pertaining to data and model semantics, missing data, data quality and modeling. The findings serve to inform practitioners about the bottlenecks delaying the implementation of UDTs.</t>
  </si>
  <si>
    <t>[Weil, Charlotte; Longchamp, Regis; Golay, Francois] Ecole Polytech Fed Lausanne, Sch Architecture Civil &amp; Environm Engn, ENAC, EPFL, CH-1015 Lausanne, Switzerland; [Bibri, Simon Elias] Ecole Polytech Fed Lausanne, Sch Architecture Civil &amp; Environm Engn, VITA, Visual Intelligence Transportat,ENAC,EPFL, CH-1015 Lausanne, Switzerland; [Alahi, Alexandre] Ecole Polytech fedeale Lausanne, VITA, Visual Intelligence Transportat, EPFL, CH-1015 Lausanne, Switzerland</t>
  </si>
  <si>
    <t>Swiss Federal Institutes of Technology Domain; Ecole Polytechnique Federale de Lausanne; Swiss Federal Institutes of Technology Domain; Ecole Polytechnique Federale de Lausanne; Swiss Federal Institutes of Technology Domain; Ecole Polytechnique Federale de Lausanne</t>
  </si>
  <si>
    <t>Weil, C (corresponding author), Ecole Polytech Fed Lausanne, Sch Architecture Civil &amp; Environm Engn, ENAC, EPFL, CH-1015 Lausanne, Switzerland.</t>
  </si>
  <si>
    <t>charlotte.weil@epfl.ch</t>
  </si>
  <si>
    <t>Alahi, Alexandre/AAP-5936-2021</t>
  </si>
  <si>
    <t>Golay, Francois/0000-0002-0683-0481; Weil, Charlotte/0000-0002-5423-1440; Bibri, Simon Elias/0009-0003-8559-6885</t>
  </si>
  <si>
    <t>Etat de Geneve, Departement du territoire (DT); European Union; [101034260]</t>
  </si>
  <si>
    <t>Etat de Geneve, Departement du territoire (DT); European Union(European Union (EU));</t>
  </si>
  <si>
    <t>This work builds on an analysis conducted for the State of Geneva, mandated and supported financially by Etat de Geneve, Departement du territoire (DT) , Direction de l ' information du territoire through the FUSTIC association, the mandate was coordinated by Dr Frederic Dreyer.This work also received funding from the European Union' s Horizon 2020 research and innovation programme under the Marie Sklodowska-Curie grant agreement No 101034260.</t>
  </si>
  <si>
    <t>2210-6707</t>
  </si>
  <si>
    <t>2210-6715</t>
  </si>
  <si>
    <t>SUSTAIN CITIES SOC</t>
  </si>
  <si>
    <t>Sust. Cities Soc.</t>
  </si>
  <si>
    <t>DEC</t>
  </si>
  <si>
    <t>10.1016/j.scs.2023.104862</t>
  </si>
  <si>
    <t>AUG 2023</t>
  </si>
  <si>
    <t>Construction &amp; Building Technology; Green &amp; Sustainable Science &amp; Technology; Energy &amp; Fuels</t>
  </si>
  <si>
    <t>Construction &amp; Building Technology; Science &amp; Technology - Other Topics; Energy &amp; Fuels</t>
  </si>
  <si>
    <t>S2NG9</t>
  </si>
  <si>
    <t>WOS:001069583500001</t>
  </si>
  <si>
    <t>Lei, BY; Janssen, P; Stoter, J; Biljecki, F</t>
  </si>
  <si>
    <t>Lei, Binyu; Janssen, Patrick; Stoter, Jantien; Biljecki, Filip</t>
  </si>
  <si>
    <t>Challenges of urban digital twins: A systematic review and a Delphi expert survey</t>
  </si>
  <si>
    <t>AUTOMATION IN CONSTRUCTION</t>
  </si>
  <si>
    <t>3D city model; City information model; Virtual replica; Simulations; Urban planning</t>
  </si>
  <si>
    <t>FRAMEWORK; FUTURE; DESIGN; REFLECTIONS; LESSONS; CITIES; STATE; ART</t>
  </si>
  <si>
    <t>Many challenges to operate digital twins remain, hindering their design and implementation, and are rarely discussed. Furthermore, issues of social and legal nature are often overlooked. We identify the challenges of operating digital twins in the urban context through a bifurcated and multi-dimensional approach: a systematic literature review and an expert survey. The review organises the identified challenges across technical and non-technical dimensions. As the topic is novel, the corpus is rather small and lacking the contextualisation of challenges. Thus, we complement it with a survey based on the Delphi method, involving a diverse panel of domain experts covering academia, industry and government organisations. Combining the results, we identify 14 technical and 9 non-technical challenges and map them to phases of the digital twin's life cycle. The most severe challenges appear to be related to interoperability (e.g. disparate semantic standards) and practical value (e.g. lack of business models).</t>
  </si>
  <si>
    <t>[Lei, Binyu; Janssen, Patrick; Biljecki, Filip] Natl Univ Singapore, Dept Architecture, Singapore, Singapore; [Stoter, Jantien] Delft Univ Technol, 3D Geoinformat Grp, Delft, Netherlands; [Biljecki, Filip] Natl Univ Singapore, Dept Real Estate, Singapore, Singapore; [Biljecki, Filip] Natl Univ Singapore, Dept Architecture, 4 Architecture Dr, Singapore 117566, Singapore</t>
  </si>
  <si>
    <t>National University of Singapore; Delft University of Technology; National University of Singapore; National University of Singapore</t>
  </si>
  <si>
    <t>Biljecki, F (corresponding author), Natl Univ Singapore, Dept Architecture, 4 Architecture Dr, Singapore 117566, Singapore.</t>
  </si>
  <si>
    <t>filip@nus.edu.sg</t>
  </si>
  <si>
    <t>Lei, Binyu/JMC-2680-2023; Biljecki, Filip/B-9829-2013; Janssen, Patrick/J-6019-2015</t>
  </si>
  <si>
    <t>Lei, Binyu/0000-0002-8501-3104; Stoter, Jantien/0000-0002-1393-7279</t>
  </si>
  <si>
    <t>National University of Singapore; Singapore Ministry of Education Academic Research Fund Tier 1; [R-295-000-171-133]</t>
  </si>
  <si>
    <t>National University of Singapore(National University of Singapore); Singapore Ministry of Education Academic Research Fund Tier 1(Ministry of Education, Singapore);</t>
  </si>
  <si>
    <t>The Institutional Review Board of the National University of Singa-pore has reviewed and approved the ethical aspects of this research (Reference Code: NUS-IRB-2022-87) . We are grateful to all expert panellists for their time and patience to participate in our Delphi survey and providing valuable responses for this research. We particularly wish to thank the European Spatial Data Research network (EuroSDR) and the 3D Information Management (3DIM) Domain Working Group of the Open Geospatial Consortium (OGC) for their kind efforts to distribute our survey. We thank Dr Claire Ellul (University College London) for her support and discussions related to the survey. We thank the members of the NUS Urban Analytics Lab for the discussions, in particular, Dr Pengyuan Liu for the constructive comments on the earlyversions of the paper. This research is part of the projects (i) Large-scale 3D Geospatial Data for Urban Analytics, which is supported by the National University of Singapore under the Start Up Grant R-295-000-171-133; and (ii) Multi-scale Digital Twins for the Urban Environment: From Heartbeats to Cities, which is supported by the Singapore Ministry of Education Academic Research Fund Tier 1.</t>
  </si>
  <si>
    <t>0926-5805</t>
  </si>
  <si>
    <t>1872-7891</t>
  </si>
  <si>
    <t>AUTOMAT CONSTR</t>
  </si>
  <si>
    <t>Autom. Constr.</t>
  </si>
  <si>
    <t>MAR</t>
  </si>
  <si>
    <t>10.1016/j.autcon.2022.104716</t>
  </si>
  <si>
    <t>Construction &amp; Building Technology; Engineering, Civil</t>
  </si>
  <si>
    <t>Construction &amp; Building Technology; Engineering</t>
  </si>
  <si>
    <t>8I1UV</t>
  </si>
  <si>
    <t>WOS:000921513800001</t>
  </si>
  <si>
    <t>Bibri, SE; Huang, J; Jagatheesaperumal, SK; Krogstie, J</t>
  </si>
  <si>
    <t>Bibri, Simon Elias; Huang, Jeffrey; Jagatheesaperumal, Senthil Kumar; Krogstie, John</t>
  </si>
  <si>
    <t>The synergistic interplay of artificial intelligence and digital twin in environmentally planning sustainable smart cities: A comprehensive systematic review</t>
  </si>
  <si>
    <t>ENVIRONMENTAL SCIENCE AND ECOTECHNOLOGY</t>
  </si>
  <si>
    <t>Sustainable smart cities; Arti ficial intelligence; Arti ficial intelligence of things; Urban digital twin; Data -driven urban planning; Environmental planning; Environmental sustainability</t>
  </si>
  <si>
    <t>OF-THE-ART; BIG DATA; CHALLENGES; PLATFORM; THINGS; TOOLS; OPPORTUNITIES; COMPLEXITY; METAVERSE; INTERNET</t>
  </si>
  <si>
    <t>The dynamic landscape of sustainable smart cities is witnessing a signi ficant transformation due to the integration of emerging computational technologies and innovative models. These advancements are reshaping data -driven planning strategies, practices, and approaches, thereby facilitating the achievement of environmental sustainability goals. This transformative wave signals a fundamental shift d marked by the synergistic operation of arti ficial intelligence (AI), arti ficial intelligence of things (AIoT), and urban digital twin (UDT) technologies. While previous research has largely explored urban AI, urban AIoT, and UDT in isolation, a signi ficant knowledge gap exists regarding their synergistic interplay, collaborative integration, and collective impact on data -driven environmental planning in the dynamic context of sustainable smart cities. To address this gap, this study conducts a comprehensive systematic review to uncover the intricate interactions among these interconnected technologies, models, and domains while elucidating the nuanced dynamics and untapped synergies in the complex ecosystem of sustainable smart cities. Central to this study are four guiding research questions: 1. What theoretical and practical foundations underpin the convergence of AI, AIoT, UDT, data -driven planning, and environmental sustainability in sustainable smart cities, and how can these components be synthesized into a novel comprehensive framework? 2. How does integrating AI and AIoT reshape the landscape of datadriven planning to improve the environmental performance of sustainable smart cities? 3. How can AI and AIoT augment the capabilities of UDT to enhance data -driven environmental planning processes in sustainable smart cities? 4. What challenges and barriers arise in integrating and implementing AI, AIoT, and UDT in data -driven environmental urban planning, and what strategies can be devised to surmount or mitigate them? Methodologically, this study involves a rigorous analysis and synthesis of studies published between January 2019 and December 2023, comprising an extensive body of literature totaling 185 studies. The findings of this study surpass mere interdisciplinary theoretical enrichment, offering valuable insights into the transformative potential of integrating AI, AIoT, and UDT technologies to advance sustainable urban development practices. By enhancing data -driven environmental planning processes, these integrated technologies and models offer innovative solutions to address complex environmental challenges. However, this endeavor is fraught with formidable challenges and complexities that require careful navigation and mitigation to achieve desired outcomes. This study serves as a comprehensive reference guide, spurring groundbreaking research endeavors, stimulating practical implementations, informing strategic initiatives, and shaping policy formulations in sustainable urban development. These insights have profound implications for researchers, practitioners, and policymakers, providing a roadmap for fostering resiliently designed, technologically advanced, and environmentally conscious urban environments. (c) 2024 The Author(s). Published by Elsevier B.V. on behalf of Chinese Society for Environmental Sciences, Harbin Institute of Technology, Chinese Research Academy of Environmental Sciences. This is an open access article under the CC BY license (http://creativecommons.org/licenses/by/4.0/).</t>
  </si>
  <si>
    <t>[Bibri, Simon Elias; Huang, Jeffrey] Swiss Fed Inst Technol Lausanne EPFL, Inst Comp &amp; Commun Sci IINFCOM, Sch Architecture Civil &amp; Environm Engn ENAC, Media &amp; Design Lab LDM, CH-1015 Lausanne, Switzerland; [Jagatheesaperumal, Senthil Kumar] Mepco Schlenk Engn Coll, Dept Elect &amp; Commun Engn, Sivakasi 626005, Tamilnadu, India; [Krogstie, John] Norwegian Univ Sci &amp; Technol NTNU, Dept Comp Sci, Trondheim, Norway</t>
  </si>
  <si>
    <t>Swiss Federal Institutes of Technology Domain; Ecole Polytechnique Federale de Lausanne; Mepco Schlenk Engineering College; Norwegian University of Science &amp; Technology (NTNU)</t>
  </si>
  <si>
    <t>Bibri, SE (corresponding author), Swiss Fed Inst Technol Lausanne EPFL, Inst Comp &amp; Commun Sci IINFCOM, Sch Architecture Civil &amp; Environm Engn ENAC, Media &amp; Design Lab LDM, CH-1015 Lausanne, Switzerland.</t>
  </si>
  <si>
    <t>simon.bibri@epfl.ch</t>
  </si>
  <si>
    <t>Jagatheesaperumal, Senthil Kumar/S-9258-2019; Jagatheesaperumal, Senthil Kumar/S-9258-2019; Krogstie, John/NBX-4350-2025</t>
  </si>
  <si>
    <t>Jagatheesaperumal, Senthil Kumar/0000-0002-9516-0327; Jagatheesaperumal, Senthil Kumar/0000-0002-9516-0327; Krogstie, John/0000-0003-4830-1876</t>
  </si>
  <si>
    <t>2666-4984</t>
  </si>
  <si>
    <t>ENVIRON SCI ECOTECH</t>
  </si>
  <si>
    <t>Env. Sci. Ecotechnol.</t>
  </si>
  <si>
    <t>JUL</t>
  </si>
  <si>
    <t>10.1016/j.ese.2024.100433</t>
  </si>
  <si>
    <t>MAY 2024</t>
  </si>
  <si>
    <t>Green &amp; Sustainable Science &amp; Technology; Environmental Sciences</t>
  </si>
  <si>
    <t>Science &amp; Technology - Other Topics; Environmental Sciences &amp; Ecology</t>
  </si>
  <si>
    <t>UA0B0</t>
  </si>
  <si>
    <t>WOS:001245213400001</t>
  </si>
  <si>
    <t>ID</t>
  </si>
  <si>
    <t>Title</t>
  </si>
  <si>
    <t>Databases</t>
  </si>
  <si>
    <t>DT.DBQ1.01</t>
  </si>
  <si>
    <t>DT.DBQ1.02</t>
  </si>
  <si>
    <t>DT.DBQ1.03</t>
  </si>
  <si>
    <t>DT.DBQ1.04</t>
  </si>
  <si>
    <t>DT.DBQ1.05</t>
  </si>
  <si>
    <t>DT.DBQ1.06</t>
  </si>
  <si>
    <t>DT.DBQ1.07</t>
  </si>
  <si>
    <t>DT.DBQ1.08</t>
  </si>
  <si>
    <t>DT.DBQ1.09</t>
  </si>
  <si>
    <t>Database</t>
  </si>
  <si>
    <t>Num</t>
  </si>
  <si>
    <t>Total</t>
  </si>
  <si>
    <t>Percentual</t>
  </si>
  <si>
    <t>Percentual cumulativo</t>
  </si>
  <si>
    <t>Scopus</t>
  </si>
  <si>
    <t>ScienceDirect</t>
  </si>
  <si>
    <t>IEEE Xplore (IEEE, IET)</t>
  </si>
  <si>
    <t>ACM digital library</t>
  </si>
  <si>
    <t>Wiley online library</t>
  </si>
  <si>
    <t>Web of Science</t>
  </si>
  <si>
    <t>SpringerLink (Springer)</t>
  </si>
  <si>
    <t>Taylor &amp; Francis online</t>
  </si>
  <si>
    <t>Google Scholar</t>
  </si>
  <si>
    <t>CIRP</t>
  </si>
  <si>
    <t>IFAC-Papers Online 7</t>
  </si>
  <si>
    <t>Procedia Manufacturing</t>
  </si>
  <si>
    <t>International Journal of Advanced Manufacturing Technology</t>
  </si>
  <si>
    <t>Journal of Ambient Intelligence and Humanoid Computing</t>
  </si>
  <si>
    <t>Hindawi</t>
  </si>
  <si>
    <t>IGI-Global</t>
  </si>
  <si>
    <t>Key</t>
  </si>
  <si>
    <t>Item Type</t>
  </si>
  <si>
    <t>Author</t>
  </si>
  <si>
    <t>Publication Title</t>
  </si>
  <si>
    <t>Url</t>
  </si>
  <si>
    <t>Abstract Note</t>
  </si>
  <si>
    <t>Date</t>
  </si>
  <si>
    <t>Date Added</t>
  </si>
  <si>
    <t>Date Modified</t>
  </si>
  <si>
    <t>Access Date</t>
  </si>
  <si>
    <t>Pages</t>
  </si>
  <si>
    <t>Num Pages</t>
  </si>
  <si>
    <t>Number Of Volumes</t>
  </si>
  <si>
    <t>Short Title</t>
  </si>
  <si>
    <t>Series</t>
  </si>
  <si>
    <t>Series Number</t>
  </si>
  <si>
    <t>Series Text</t>
  </si>
  <si>
    <t>Series Title</t>
  </si>
  <si>
    <t>Place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</si>
  <si>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</si>
  <si>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</si>
  <si>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</si>
  <si>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</si>
  <si>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</si>
  <si>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</si>
  <si>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</si>
  <si>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</si>
  <si>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</si>
  <si>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</si>
  <si>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</si>
  <si>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</si>
  <si>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</si>
  <si>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</si>
  <si>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</si>
  <si>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</si>
  <si>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</si>
  <si>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</si>
  <si>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</si>
  <si>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</si>
  <si>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</si>
  <si>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</si>
  <si>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</si>
  <si>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</si>
  <si>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</si>
  <si>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</si>
  <si>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</si>
  <si>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</si>
  <si>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</si>
  <si>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</si>
  <si>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</si>
  <si>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</si>
  <si>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</si>
  <si>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</si>
  <si>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</si>
  <si>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</si>
  <si>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</si>
  <si>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</si>
  <si>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</si>
  <si>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</si>
  <si>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</si>
  <si>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</si>
  <si>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</si>
  <si>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</si>
  <si>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</si>
  <si>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</si>
  <si>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</si>
  <si>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</si>
  <si>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</si>
  <si>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</si>
  <si>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</si>
  <si>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</si>
  <si>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</si>
  <si>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</si>
  <si>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</si>
  <si>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</si>
  <si>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</si>
  <si>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</si>
  <si>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Y3PA3JS8</t>
  </si>
  <si>
    <t>journalArticle</t>
  </si>
  <si>
    <t>Aghazadeh Ardebili, A.; Zappatore, M.; Ramadan, A.I.H.A.; Longo, A.; Ficarella, A.</t>
  </si>
  <si>
    <t>Digital Twins of smart energy systems: a systematic literature review on enablers, design, management and computational challenges</t>
  </si>
  <si>
    <t>Energy Informatics</t>
  </si>
  <si>
    <t>25208942 (ISSN)</t>
  </si>
  <si>
    <t>10.1186/s42162-024-00385-5</t>
  </si>
  <si>
    <t>https://www.scopus.com/inward/record.uri?eid=2-s2.0-85205923870&amp;doi=10.1186%2Fs42162-024-00385-5&amp;partnerID=40&amp;md5=806c3f02ba8c9f382702f93b30376aed</t>
  </si>
  <si>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 © 2024 Elsevier B.V., All rights reserved.</t>
  </si>
  <si>
    <t>Energy. Inform.</t>
  </si>
  <si>
    <t>Publisher: Springer Nature</t>
  </si>
  <si>
    <t>Reviews; Network security; Digital Twin; Bibliographies; Systems architecture; Cyber-physical systems; Interoperability; Energy; Cybe-physical systems; Complex system; Cybe-physical-social system; Cyber physicals; Cyber-Physical System; Cyber-Physical-Social System; Edge clouds; Edge-cloud continuum; Edge-Cloud Continuum; Empowerment of personnel; Energy internet; Energy internet-of-thing; Energy IoT; Failure rate; Fault tree analysis; Foil bearings; Gas bearings; Graph structures; Internet of energy; Magnetic couplings; Piston rings; Railroad bearings; Ring springs; Rotating disks; Screws; SGML; Shear walls; Smart energy system; Smart energy systems; Social systems; System architecture; Variable speed drives; Voltage scaling; included</t>
  </si>
  <si>
    <t>JMC9E8SA</t>
  </si>
  <si>
    <t>Antonesi, G.; Cioara, T.; Anghel, I.; Michalakopoulos, V.; Sarmas, E.; Toderean, L.</t>
  </si>
  <si>
    <t>A systematic review of transformers and large language models in the energy sector: towards agentic digital twins</t>
  </si>
  <si>
    <t>Applied Energy</t>
  </si>
  <si>
    <t>18729118 (ISSN); 03062619 (ISSN)</t>
  </si>
  <si>
    <t>10.1016/j.apenergy.2025.126670</t>
  </si>
  <si>
    <t>https://www.scopus.com/inward/record.uri?eid=2-s2.0-105013772709&amp;doi=10.1016%2Fj.apenergy.2025.126670&amp;partnerID=40&amp;md5=c1cad25a7dc752b2dbd6cb8ee9706b33</t>
  </si>
  <si>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2025 Elsevier B.V., All rights reserved.</t>
  </si>
  <si>
    <t>Appl. Energy</t>
  </si>
  <si>
    <t>Publisher: Elsevier Ltd</t>
  </si>
  <si>
    <t>Artificial intelligence; machine learning; literature review; Large language models; Data integration; Digital twin; Agentic digital twins; Energy sector; Foundation models; GenAI; Generative AI; Smart grid; Transformers; Forecasting; Decision making; Agentic digital twin; Behavioral research; digitization; Electric transformers; energy management; Energy policy; Generative artificial intelligence; Language model; Large language model; Modal analysis; numerical model; Situational awareness; smart grid; Smart power grids; Transformer; included</t>
  </si>
  <si>
    <t>URBJYMAX</t>
  </si>
  <si>
    <t>conferencePaper</t>
  </si>
  <si>
    <t>Arin, I.A.; Meyliana, n.; Warnars, H.L.H.S.; Murad, D.F.</t>
  </si>
  <si>
    <t>A Systematic Literature Review of Recent Trends and Challenges in Digital Twin Implementation</t>
  </si>
  <si>
    <t>Int. Conf. ICT for Smart Soc., ICISS - Proceeding</t>
  </si>
  <si>
    <t>9798350339543 (ISBN)</t>
  </si>
  <si>
    <t>10.1109/ICISS59129.2023.10291219</t>
  </si>
  <si>
    <t>https://www.scopus.com/inward/record.uri?eid=2-s2.0-85177460118&amp;doi=10.1109%2FICISS59129.2023.10291219&amp;partnerID=40&amp;md5=a6bc6d3e07f2b2bddf90df9ceb1c59fd</t>
  </si>
  <si>
    <t>This paper reviews the latest trends and challenges in implementing digital twin technology. A digital twin is a tool used in various industries to improve efficiency, optimize processes, and enable advanced analysis. The review involved searching major research databases and search engines for articles published between 2018 and 2023. The findings reveal several important trends, including the development of different types of digital twin dimensions, each with its own advantages and limitations. The benefits of digital twin implementation include improved decision-making, increased productivity, and operational efficiency. However, there are challenges, such as data integration, security and privacy concerns, a lack of standardization, and the need for experts to effectively design and operate digital twins. The implications of these trends and challenges are discussed regarding their impact on the successful adoption and implementation of digital twin technology. The review also highlights the need to address these challenges and explore new approaches for maximizing the benefits of digital twin technology. Overall, this comprehensive review is a valuable resource for researchers, practitioners, and organizations seeking to understand the current landscape, identify areas for improvement, and make informed decisions when implementing digital twin technology. © 2023 Elsevier B.V., All rights reserved.</t>
  </si>
  <si>
    <t>Institute of Electrical and Electronics Engineers Inc.</t>
  </si>
  <si>
    <t>Journal Abbreviation: Int. Conf. ICT for Smart Soc., ICISS - Proceeding</t>
  </si>
  <si>
    <t>digital twin; Systematic literature review; Data integration; systematic literature review; Decision making; Decisions makings; Challenge; Search engines; Efficiency; challenges; Advanced analysis; implementation; Implementation; Increased productivity; Operational efficiencies; Recent trends; Research database; Trend; trends; included</t>
  </si>
  <si>
    <t>5DW7CSCF</t>
  </si>
  <si>
    <t>Arin, I.A.; Murad, D.F.; Warnars, H.L.H.S.</t>
  </si>
  <si>
    <t>Digital Twin Integration in Field Service Management: A Hybrid Systematic Literature Review and Bibliometric Analysis (2017-2024)</t>
  </si>
  <si>
    <t>International Journal of Sustainable Development and Planning</t>
  </si>
  <si>
    <t>17437601 (ISSN); 1743761X (ISSN)</t>
  </si>
  <si>
    <t>10.18280/ijsdp.200801</t>
  </si>
  <si>
    <t>https://www.scopus.com/inward/record.uri?eid=2-s2.0-105018889828&amp;doi=10.18280%2Fijsdp.200801&amp;partnerID=40&amp;md5=a6858ecf572b9ea40e2bd53c60298ce0</t>
  </si>
  <si>
    <t>Field Service Management (FSM) is undergoing a significant transformation through digital twin technology integration. This study employs a hybrid methodological framework combining systematic literature review (SLR) and bibliometric analysis to examine 166 scholarly publications from 2017-2024. Our findings reveal: (1) a 23.7% compound annual growth rate in FSM research with distinct evolution phases from basic digitization to intelligent integration; (2) digital twin technology emerging as the most transformative innovation in FSM, enabling unprecedented 99.9% network uptime in telecommunications infrastructure; (3) a three-stage maturity model for digital twin implementation (virtual modeling, real-time synchronization, predictive optimization); and (4) implementation barriers including technological integration challenges (38.5%) and organizational resistance (32.4%). The research identifies artificial intelligence integration (42.8%) and autonomous service delivery (35.6%) as dominant future directions for digital twin applications in FSM. This study contributes to information systems theory by mapping the intellectual structure of FSM knowledge and offering the first comprehensive digital twin integration framework for FSM implementation, while providing practitioners with evidence-based strategies for achieving quantifiable operational improvements, particularly in telecommunications infrastructure management. © 2025 Elsevier B.V., All rights reserved.</t>
  </si>
  <si>
    <t>3155-3169</t>
  </si>
  <si>
    <t>Int. J. Sustainable Dev. Plann.</t>
  </si>
  <si>
    <t>Publisher: International Information and Engineering Technology Association</t>
  </si>
  <si>
    <t>artificial intelligence; innovation; literature review; digitization; bibliometric analysis; digital twin technology; field service management (FSM); growth rate; infrastructure; systematic literature review (SLR); technological change; technology integration; telecommunication; telecommunication infrastructure; included</t>
  </si>
  <si>
    <t>ZMTL8ZKG</t>
  </si>
  <si>
    <t>Ba, L.; Tangour, F.; El Abbassi, I.; Absi, R.</t>
  </si>
  <si>
    <t>Analysis of Digital Twin Applications in Energy Efficiency: A Systematic Review</t>
  </si>
  <si>
    <t>Sustainability (Switzerland)</t>
  </si>
  <si>
    <t>20711050 (ISSN)</t>
  </si>
  <si>
    <t>10.3390/su17083560</t>
  </si>
  <si>
    <t>https://www.scopus.com/inward/record.uri?eid=2-s2.0-105003656265&amp;doi=10.3390%2Fsu17083560&amp;partnerID=40&amp;md5=15880fe7a56c0315846422e00798a2f4</t>
  </si>
  <si>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 © 2025 Elsevier B.V., All rights reserved.</t>
  </si>
  <si>
    <t>Sustainability</t>
  </si>
  <si>
    <t>Publisher: Multidisciplinary Digital Publishing Institute (MDPI)</t>
  </si>
  <si>
    <t>energy efficiency; sustainability; literature review; Industry 4.0; Digital Twin; predictive maintenance; digitization; maintenance; smart buildings; energy storage; included</t>
  </si>
  <si>
    <t>EDVYUZNA</t>
  </si>
  <si>
    <t>Bae, C.; Choi, E.; Lee, S.</t>
  </si>
  <si>
    <t>Technologies, Applications, and Challenges of Digital Twin Across Industries: A Systematic Review of the State-of-the-Art Literature</t>
  </si>
  <si>
    <t>21693536 (ISSN)</t>
  </si>
  <si>
    <t>10.1109/ACCESS.2025.3601615</t>
  </si>
  <si>
    <t>https://www.scopus.com/inward/record.uri?eid=2-s2.0-105013996327&amp;doi=10.1109%2FACCESS.2025.3601615&amp;partnerID=40&amp;md5=77d1ad982062f63bd474c7c3f19c5387</t>
  </si>
  <si>
    <t>Digital twins can be defined as a virtual representation of a physical object that can replicate its behavior in a virtual environment. This concept involves the integration of three distinct components: the physical space, the virtual space, and the communication between these two spaces. Digital twins are recognized as one of the key driving forces in various industries, and a comprehensive understanding is necessary to utilize them. A thorough review of the advantages and disadvantages of digital twins, including their value, characteristics, applications, and challenges, is essential to analyze their growth potential and investment value. This paper comprehensively reviews the digital twin applications being studied across industries. To this end, we propose three research questions and address them through a structured literature review. First, we examine the core technologies of digital twins and find that they form an integrated framework combining modeling, sensing, and real-time data processing. Second, we analyze their adoption across industries and observe widespread use in aerospace and aeronautics, manufacturing, healthcare, energy, and urban systems with domain-specific objectives. Third, we explore life-cycle applications and identify digital twins as enablers of continuity from design to operation and evolution. These findings offer a broad perspective on the current state and future potential of digital twin applications. © 2025 Elsevier B.V., All rights reserved.</t>
  </si>
  <si>
    <t>152843-152869</t>
  </si>
  <si>
    <t>Publisher: Institute of Electrical and Electronics Engineers Inc.</t>
  </si>
  <si>
    <t>Industry 4.0; Digital twin; Life cycle; Systematic Review; Virtual reality; Technology application; Physical objects; Virtual representations; Aerospace engineering; Digital twin application; digital twin applications; digital twin challenge; Digital twin challenge; digital twin technologies; Digital twin technology; Investments; State of the art; Technology challenges; Virtual environments; Virtual spaces; included</t>
  </si>
  <si>
    <t>55QNNKSI</t>
  </si>
  <si>
    <t>Barricelli, B.R.; Fogli, D.</t>
  </si>
  <si>
    <t>Digital Twins in Human-Computer Interaction: A Systematic Review</t>
  </si>
  <si>
    <t>International Journal of Human-Computer Interaction</t>
  </si>
  <si>
    <t>10447318 (ISSN); 15327590 (ISSN)</t>
  </si>
  <si>
    <t>10.1080/10447318.2022.2118189</t>
  </si>
  <si>
    <t>https://www.scopus.com/inward/record.uri?eid=2-s2.0-85138270893&amp;doi=10.1080%2F10447318.2022.2118189&amp;partnerID=40&amp;md5=f201ed7ffac05dac9bd2c18e89be14e9</t>
  </si>
  <si>
    <t>With the spreading of Industry 4.0, cyber-physical systems, and tools for augmented and virtual reality, Digital Twin (DT) is gaining momentum in several areas of Computer Science and Engineering. This paper presents a systematic literature review that investigates the way DTs are described in Human-Computer Interaction (HCI) scientific literature. The study includes 23 papers selected through a systematic search on the 21 most ranked journals and conferences in the HCI area. As a result of this work, it appears clear that the way humans interact with DTs is a topic still far from being widely studied. A set of hints for future research about the relationship between HCI and DT constitute the main outcome of this paper. © 2024 Elsevier B.V., All rights reserved.</t>
  </si>
  <si>
    <t>79-97</t>
  </si>
  <si>
    <t>Int. J. Hum.-Comput. Interact.</t>
  </si>
  <si>
    <t>Publisher: Taylor and Francis Ltd.</t>
  </si>
  <si>
    <t>Systematic literature review; Cyber-physical systems; Systematic Review; Virtual reality; Human computer interaction; Cybe-physical systems; Embedded systems; Scientific literature; Augmented and virtual realities; Computer science and engineerings; Gaining momentum; Physical tool; Systematic searches; included</t>
  </si>
  <si>
    <t>2VX6L29L</t>
  </si>
  <si>
    <t>Brarda, P.G.; Fernandez, G.; Ayala, N.F.</t>
  </si>
  <si>
    <t>Digital Twin, Digital Shadow or Digital Model? A Systematic Literature Review</t>
  </si>
  <si>
    <t>IFIP Advances in Information and Communication Technology</t>
  </si>
  <si>
    <t>1868422X (ISSN); 18684238 (ISSN); 9783032007766 (ISBN); 9783031962301 (ISBN); 9783031949234 (ISBN); 9783031971143 (ISBN); 9783031962387 (ISBN); 9783031965210 (ISBN); 9780387291215 (ISBN); 9783319900223 (ISBN); 9783319162737 (ISBN); 1402080697 (ISBN)</t>
  </si>
  <si>
    <t>10.1007/978-3-032-03538-7_22</t>
  </si>
  <si>
    <t>https://www.scopus.com/inward/record.uri?eid=2-s2.0-105015479266&amp;doi=10.1007%2F978-3-032-03538-7_22&amp;partnerID=40&amp;md5=f4812bfa7bde5366bad1c4f8aa0ac42b</t>
  </si>
  <si>
    <t>This study explores the evolution of the Digital Factory in the context of Industry 4.0, focusing on progression through the Digital Model, Digital Shadow and Digital Twin stages. It addresses a gap in the literature by differentiating these concepts, identifying their objectives and the technologies associated with each level. For this, a systematic review of the literature was carried out, using keyword combinations to identify relevant articles in the Scopus, Web of Science and Science Direct databases. In total, 47 articles were analyzed, allowing the development of a comprehensive understanding of the Digital Factory's technological internships and enablers. The study presents a conceptual framework that illustrates the transition from the Digital Model to the Digital Shadow and the Digital Twin, highlighting its transformative impact on manufacturing processes, with capabilities such as dynamic simulations, real-time monitoring, and predictive analytics. Technologies such as sensors, IoT, simulation, and artificial intelligence are analyzed at different levels of maturity. The results offer actionable insights for decision-makers, shedding light on the capabilities, hierarchies, and taxonomies of Digital Factory stages. In addition, a modular approach is proposed, which allows flexibility to meet the specific needs of projects, while ensuring scalability. The findings also serve as a resource for the development of roadmaps and budgets, facilitating successful implementations of the Digital Factory. This study contributes in an innovative way by systematically differentiating the concepts of Digital Model, Digital Shadow and Digital Twin, advancing both the theoretical understanding and the practical application of the Digital Factory in Industry 4.0. © 2025 Elsevier B.V., All rights reserved.</t>
  </si>
  <si>
    <t>306-319</t>
  </si>
  <si>
    <t>766 IFIPAICT</t>
  </si>
  <si>
    <t>Springer Science and Business Media Deutschland GmbH</t>
  </si>
  <si>
    <t>Journal Abbreviation: IFIP Advances in Information and Communication Technology</t>
  </si>
  <si>
    <t>Artificial intelligence; Internet of things; Industry 4.0; Systematic literature review; Digital Twin; Digital twin; Digital Factory; Budget control; Conceptual frameworks; Decision making; Digital factories; Digital Model; Digital modeling; Digital shadow; Digital Shadow; Dynamics simulation; Information systems; Information use; Manufacturing process; Real time monitoring; Systematic Review; Web of Science; included</t>
  </si>
  <si>
    <t>Mizuyama, H.; Morinaga, E.; Nonaka, T.; Kaihara, T.; von Cieminski, G.; Romero, D.</t>
  </si>
  <si>
    <t>Z23UWXMR</t>
  </si>
  <si>
    <t>Carrión, E.; Pastor, Ó.</t>
  </si>
  <si>
    <t>A systematic review of methodologies for developing Digital Twins: Insights and recommendations for effective implementation</t>
  </si>
  <si>
    <t>CEUR Workshop Proc.</t>
  </si>
  <si>
    <t>16130073 (ISSN); 9789666544899 (ISBN); 9788073780029 (ISBN); 9788024810256 (ISBN); 9789986342748 (ISBN); 9788073781712 (ISBN); 9782954494807 (ISBN); 9788024823911 (ISBN); 9789562361989 (ISBN); 8024810255 (ISBN); 807378002X (ISBN)</t>
  </si>
  <si>
    <t>https://www.scopus.com/inward/record.uri?eid=2-s2.0-85186955788&amp;partnerID=40&amp;md5=69a0173d87c1a6defc9d849b238e4cad</t>
  </si>
  <si>
    <t>Considering the diversity and complexity of the Digital Twins design and development approaches, understanding their methodological background is a significant problem. To face it, in this paper we present and discuss a systematic review that examines the methodologies currently employed in the development of Digital Twins. The study analyses relevant literature focusing on modelling and proposed methodologies for developing Digital Twins. The review identifies different approaches to Digital Twin development as the definition of structured frameworks and the proposal of step-by-step methodologies for building them. The review is intended to provide valuable insights for researchers, practitioners, and decision-makers on existing methodologies for developing effective and sound Digital Twin solutions. © 2024 Elsevier B.V., All rights reserved.</t>
  </si>
  <si>
    <t>CEUR-WS</t>
  </si>
  <si>
    <t>Journal Abbreviation: CEUR Workshop Proc.</t>
  </si>
  <si>
    <t>Systematic literature review; Digital Twins; Methodology; Systematic Literature Review; Systematic Review; Decision makers; Design and Development; Design approaches; Development approach; Twin design; included</t>
  </si>
  <si>
    <t>Sales, T.P.; Aveiro, D.; Mandelburger, M.M.; Proper, H.; Koschmider, A.; Asprion, P.M.; Marcelletti, A.; Morichetta, A.; Schneider, B.; Zech, P.; Kulkarni, V.; Breu, R.; Barat, S.; Poels, G.; Van Riel, J.; Calhau, R.F.; Bork, D.; Mulder, M.; de Kinderen, S.; Guerreiro, S.; Griffo, C.; Mandelburger, M.M.; Guerreiro, S.</t>
  </si>
  <si>
    <t>CEUR Workshop Proceedings</t>
  </si>
  <si>
    <t>NFVJIDPL</t>
  </si>
  <si>
    <t>Carvalho, R.; Rodrigues da Silva, A.R.</t>
  </si>
  <si>
    <t>Sustainability requirements of digital twin-based systems: A meta systematic literature review</t>
  </si>
  <si>
    <t>Applied Sciences (Switzerland)</t>
  </si>
  <si>
    <t>20763417 (ISSN)</t>
  </si>
  <si>
    <t>10.3390/app11125519</t>
  </si>
  <si>
    <t>https://www.scopus.com/inward/record.uri?eid=2-s2.0-85108827458&amp;doi=10.3390%2Fapp11125519&amp;partnerID=40&amp;md5=63dfdb02313f91047730df956c13b858</t>
  </si>
  <si>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 © 2021 Elsevier B.V., All rights reserved.</t>
  </si>
  <si>
    <t>Appl. Sci.</t>
  </si>
  <si>
    <t>Publisher: MDPI AG</t>
  </si>
  <si>
    <t>Sustainable development; Internet of Things (IoT); Digital twins (DTs); Product design; Sustainability requirements; included</t>
  </si>
  <si>
    <t>3H5AIY6V</t>
  </si>
  <si>
    <t>Chen, S.; Turanoglu Bekar, E.; Bokrantz, J.; Skoogh, A.</t>
  </si>
  <si>
    <t>AI-enhanced digital twins in maintenance: Systematic review, industrial challenges, and bridging research–practice gaps</t>
  </si>
  <si>
    <t>Journal of Manufacturing Systems</t>
  </si>
  <si>
    <t>02786125 (ISSN)</t>
  </si>
  <si>
    <t>10.1016/j.jmsy.2025.07.006</t>
  </si>
  <si>
    <t>https://www.scopus.com/inward/record.uri?eid=2-s2.0-105011843823&amp;doi=10.1016%2Fj.jmsy.2025.07.006&amp;partnerID=40&amp;md5=59e79e71eab83ffa0cf8fec10c766bc6</t>
  </si>
  <si>
    <t>The convergence of artificial intelligence (AI) and digital twin technology is reshaping maintenance strategies in the era of Industry 4.0. However, gaps persist between academic advancements and industrial adoption and expectation. This study systematically investigates the landscape of AI-enhanced digital twins for maintenance by integrating a systematic literature review (SLR) of related studies with in-depth interviews from industry practitioners. Our analysis reveals that while academia demonstrates robust applications of supervised, deep, and reinforcement learning to optimize digital twin models and prescribe data-driven actions, industrial implementation remains limited by challenges such as high scale dimension, data integration complexities, and insufficient workforce readiness. We identified and articulated three critical gap dimensions, scale, data, and model between academic research and industrial implementation and expectation. To bridge these gaps, we proposed a comprehensive five-layer framework for AI-enhanced digital twins, encompassing physical assets, data transmission, digital twins, AI analytics, and maintenance services. Actionable recommendations are provided, including the adoption of modular architectures, standardized data protocols, hybrid edge-cloud solutions, and targeted workforce upskilling. Our findings not only clarify the current state and challenges of AI-driven digital twins in maintenance but also offer a practical roadmap for accelerating their industrial implementation. This work advances the field by integrating insights from both academic research and industrial practice, offering concrete recommendations to support the practical realization of smart and sustainable maintenance practices. © 2025 Elsevier B.V., All rights reserved.</t>
  </si>
  <si>
    <t>678-699</t>
  </si>
  <si>
    <t>J Manuf Syst</t>
  </si>
  <si>
    <t>Publisher: Elsevier B.V.</t>
  </si>
  <si>
    <t>Artificial intelligence; Engineering education; Systematic literature review; Digital twins; Data integration; Digital twin; Predictive maintenance; Gap analysis; Prescriptive maintenance; Predictive analytics; Engineering research; Industrial research; Systematic Review; Academic research; Industrial adoption; Industrial challenges; Industrial implementation; Maintenance strategies; Personnel; included</t>
  </si>
  <si>
    <t>E63P3N3D</t>
  </si>
  <si>
    <t>Correia, J.B.; Abel, M.; Becker, K.</t>
  </si>
  <si>
    <t>Data management in digital twins: a systematic literature review</t>
  </si>
  <si>
    <t>Knowledge and Information Systems</t>
  </si>
  <si>
    <t>02193116 (ISSN); 02191377 (ISSN)</t>
  </si>
  <si>
    <t>10.1007/s10115-023-01870-1</t>
  </si>
  <si>
    <t>https://www.scopus.com/inward/record.uri?eid=2-s2.0-85153108953&amp;doi=10.1007%2Fs10115-023-01870-1&amp;partnerID=40&amp;md5=33e53121b1ddf8796cf152499abf999c</t>
  </si>
  <si>
    <t>The Internet of Things (IoT) and continuous advances in data-gathering devices and techniques have significantly increased the amount of relevant data that can be leveraged for innovative real-time, data-driven applications. Digital Twins (DTs) are virtual representations of physical objects, which are fully integrated and in which the automatic data exchange occurs in a bidirectional way. Modern DTs follow a five-component architecture, which includes an explicit Data Management (DM) component that acts as a bridge between the other systems. However, there is no clarity on its role and functionalities. This article presents a Systematic Literature Review on DM solutions proposed in the DT context. We analyzed DM under the Big Data chain of activities to add value to data, highlighting key issues to be addressed: data heterogeneity, interoperability, integration, data search, and quality. In addition to surveying existing solutions for handling these issues, we contextualized them in the domain and function for which the DT was proposed, the type of data dealt with, and the technological infrastructure. Our main findings revealed that the maturity level assumed for the DM component is at an early stage. The most mature solutions were proposed for the industry domain, and many of them assume humans as the ultimate information consumers. Data integration is the prevalent DM issue addressed due to the bridging role of the DM component, and cloud computing is the key implementation technology. Among the research opportunities are reference data management architectures, adoption of industry standards and ontologies, interoperability among distinct DTs, the development of agnostic standard implementations, and data provenance mechanisms. © 2023 Elsevier B.V., All rights reserved.</t>
  </si>
  <si>
    <t>3165-3196</t>
  </si>
  <si>
    <t>Knowl. Inf. Systems. Syst.</t>
  </si>
  <si>
    <t>Publisher: Springer Science and Business Media Deutschland GmbH</t>
  </si>
  <si>
    <t>Internet of things; Systematic literature review; Information management; Data integration; Digital twin; Interoperability; Electronic data interchange; Real-time data; Physical objects; Virtual representations; Search engines; Big data; Component architectures; Data gathering; Data management; Data management solution; Data-driven applications; Fully integrated; Management components; included</t>
  </si>
  <si>
    <t>GVXE7DQ6</t>
  </si>
  <si>
    <t>da Cruz, R.J.M.; Tonin, L.A.</t>
  </si>
  <si>
    <t>Systematic review of the literature on Digital Twin: a discussion of contributions and a framework proposal</t>
  </si>
  <si>
    <t>Gestao e Producao</t>
  </si>
  <si>
    <t>0104530X (ISSN)</t>
  </si>
  <si>
    <t>10.1590/1806-9649-2022V29E9621</t>
  </si>
  <si>
    <t>https://www.scopus.com/inward/record.uri?eid=2-s2.0-85135149735&amp;doi=10.1590%2F1806-9649-2022V29E9621&amp;partnerID=40&amp;md5=6e38367059feb9e75f249d57b6be36e4</t>
  </si>
  <si>
    <t>This study aimed to investigate the definitions, requirements and applications of Digital Twin (DT) models, and for that, a systematic literature review was carried out using Science Direct, Scopus and Web of Science as the bases for the articles. The method used was based on bibliometric analysis of the 332 articles extracted from the bases and a content analysis, which sought to identify contributions, common topics and gaps among the 17 articles that were filtered and identified as relevant to the second objective of this work, the framework proposal. The analyzed sample indicated that authors diverge on the definitions and use different processes to build a DT, models that seek to represent elements of the real environment, which could be products and/or processes/services, with the objective of being a tool for performance monitoring, simulation of scenarios and source of information for decision making. The use of software that often does not have trial licenses or versions for students was also observed in the sample, based on this point and on the analyzed content, an attempt was made to build a conceptual framework for the construction of a DT model in a game engine, using software that does not require licenses. © 2022 Elsevier B.V., All rights reserved.</t>
  </si>
  <si>
    <t>Gestao Prod.</t>
  </si>
  <si>
    <t>Revisão sistemática da literatura sobre Digital Twin: discussão sobre contribuições e proposta de um framework</t>
  </si>
  <si>
    <t>Publisher: Brazilian Institute for Information in Science and Technology</t>
  </si>
  <si>
    <t>Digital Twin; Framework; Game Engines; included</t>
  </si>
  <si>
    <t>VHWX9WSH</t>
  </si>
  <si>
    <t>Dos Santos, C.H.; Montevechi, J.A.B.; de Queiroz, J.A.; Miranda, R.; Leal, F.</t>
  </si>
  <si>
    <t>Decision support in productive processes through DES and ABS in the Digital Twin era: a systematic literature review</t>
  </si>
  <si>
    <t>International Journal of Production Research</t>
  </si>
  <si>
    <t>1366588X (ISSN); 00207543 (ISSN)</t>
  </si>
  <si>
    <t>10.1080/00207543.2021.1898691</t>
  </si>
  <si>
    <t>https://www.scopus.com/inward/record.uri?eid=2-s2.0-85102693068&amp;doi=10.1080%2F00207543.2021.1898691&amp;partnerID=40&amp;md5=a4c004c82536f6bb4277f27b7db2576b</t>
  </si>
  <si>
    <t>The use of simulation to support decision-making in productive processes (goods and services) is already an established research field. However, with the availability of solutions and technologies, simulation is no longer a tool with limited scope and analysis. In this case, the integration of simulation with physical systems is considered to allow virtual models to be sensitive to physical changes and aligned with the current state of processes, forming the so-called Digital Twin. Therefore, the main purpose of this article is to present a systematic literature review of the use of simulation as Digital Twin to support decision-making. We considered studies published in scientific journals and conference proceedings that include the use of Discrete Event Simulation (DES) and/or Agent-Based Simulation (ABS). Although the Digital Twin concept has appeared in recent years, we noted that its principle has been used for decades when it comes to decision-making through simulation. Moreover, there are still many discussions and uncertainties regarding the simulation model in this research field, such as the degree of autonomy, synchronisation, and connection. These and other key issues are discussed and some research opportunities are highlighted, such as the need for constant model validation and integration between various models. © 2022 Elsevier B.V., All rights reserved.</t>
  </si>
  <si>
    <t>2662-2681</t>
  </si>
  <si>
    <t>Int J Prod Res</t>
  </si>
  <si>
    <t>Systematic literature review; Digital Twin; systematic literature review; Digital twin; Decision making; Physical systems; Decision support systems; Discrete event simulation; decision-making; Agent based simulation; agent-based simulation; Decision supports; Degree of autonomy; discrete event simulation; Productive process; Research opportunities; Scientific journals; included</t>
  </si>
  <si>
    <t>AWNIYLEJ</t>
  </si>
  <si>
    <t>Fett, M.; Wilking, F.; Goetz, S.; Kirchner, E.; Wartzack, S.</t>
  </si>
  <si>
    <t>Sensor selection and integration for Cyber-Physical Systems in context of Digital Twins - A systematic review of requirements</t>
  </si>
  <si>
    <t>Annu. Syst. Syst. Eng. Conf., SoSe</t>
  </si>
  <si>
    <t>9798350327236 (ISBN)</t>
  </si>
  <si>
    <t>10.1109/SoSE59841.2023.10178669</t>
  </si>
  <si>
    <t>https://www.scopus.com/inward/record.uri?eid=2-s2.0-85166732531&amp;doi=10.1109%2FSoSE59841.2023.10178669&amp;partnerID=40&amp;md5=3c1fa869111fb74c669f44a07a57df6a</t>
  </si>
  <si>
    <t>Digital Twins process real-time data collected from a Physical Twin. This real-time data is often measurement by sensors, which must be selected and integrated during the development or modification of the physical twin. In this paper, a systematic literature review on sensors for Digital Twins and Cyber-Physical Systems is conducted. The results are mapped into a framework for selection and integration. From this, the special requirements for the sensors that arise from the use of Digital Twins can be identified. © 2023 Elsevier B.V., All rights reserved.</t>
  </si>
  <si>
    <t>Journal Abbreviation: Annu. Syst. Syst. Eng. Conf., SoSe</t>
  </si>
  <si>
    <t>Systematic literature review; Digital Twin; Cyber-physical systems; Systematic Review; Integration; Cybe-physical systems; Embedded systems; Real-time data; Cyber Physical System; Cyber-Physical System; Literature reviews; In contexts; Literature Review; Method; Sensor integration; Sensor selection; included</t>
  </si>
  <si>
    <t>6SMBTIWS</t>
  </si>
  <si>
    <t>Filho, P.T.J.C.; Junior, O.C.</t>
  </si>
  <si>
    <t>Digital Twin in Industry 4.0: Systematic review and content analysis and an architectural reference model</t>
  </si>
  <si>
    <t>Procedia Comput. Sci.</t>
  </si>
  <si>
    <t>18770509 (ISSN); 9781510849914 (ISBN)</t>
  </si>
  <si>
    <t>10.1016/j.procs.2025.02.016</t>
  </si>
  <si>
    <t>https://www.scopus.com/inward/record.uri?eid=2-s2.0-105000464865&amp;doi=10.1016%2Fj.procs.2025.02.016&amp;partnerID=40&amp;md5=8443907cbbc36afa07529bf89cc4771a</t>
  </si>
  <si>
    <t>Recent findings showed that Digital Twin served multiple constituencies. However, the dilemma between scope and scale requires a sophisticated reference architecture, an appropriate set of technologies and an appropriate business model. Most studies in Digital Twin have focused only on manufacturing and proposed explicit structures and architecture, which have faced challenges in supporting different levels of integration through an agile process. Furthermore, no known empirical research has focused on exploring the relationships between the Digital Twin and mass individualization. Therefore, the main objective of this study was to identify suitable Industry 4.0 technologies and a holistic reference architecture model to realize the most challenging Digital Twin-enabled applications. In this study, a Digital Twin reference architecture was developed and applied in an industrial case. Furthermore, the Digital Twin as a Service (DTaaS) paradigm used for the digital transformation of unique wetlands with considerable advantages including smart scheduled maintenance, real-time monitoring, remote control and forecasting functionalities. The findings indicate that there is a significant relationship between the capabilities of Digital Twin as a Service and mass individualization. © 2025 Elsevier B.V., All rights reserved.</t>
  </si>
  <si>
    <t>2919-2928</t>
  </si>
  <si>
    <t>Elsevier B.V.</t>
  </si>
  <si>
    <t>Journal Abbreviation: Procedia Comput. Sci.</t>
  </si>
  <si>
    <t>Content analysis; Digital transformation; Digital Twin; digital transformation; industry 4.0; Reference architecture; Systematic Review; Smart manufacturing; Agile process; Business models; Empirical research; Individualisation; Level of integrations; Reference modeling; included</t>
  </si>
  <si>
    <t>Solina, V.; Longo, F.; Romero, D.</t>
  </si>
  <si>
    <t>Procedia Computer Science</t>
  </si>
  <si>
    <t>X2RYXN8W</t>
  </si>
  <si>
    <t>Gaffinet, B.; Al Haj Ali, J.; Naudet, Y.; Panetto, H.</t>
  </si>
  <si>
    <t>Human Digital Twins: A systematic literature review and concept disambiguation for industry 5.0</t>
  </si>
  <si>
    <t>Computers in Industry</t>
  </si>
  <si>
    <t>01663615 (ISSN)</t>
  </si>
  <si>
    <t>10.1016/j.compind.2024.104230</t>
  </si>
  <si>
    <t>https://www.scopus.com/inward/record.uri?eid=2-s2.0-85213848996&amp;doi=10.1016%2Fj.compind.2024.104230&amp;partnerID=40&amp;md5=91e614ad93f82aa9749e6d781c80f36b</t>
  </si>
  <si>
    <t>Human Digital Twins (HDTs) are an emerging concept with the potential to create human-centric systems for Industry 5.0. The concept has rapidly spread to new application domains, most notably Healthcare, leading to diverging conceptual interpretations. This Systematic Literature Review analyses the conceptual understanding of HDTs across all application domains to clarify the conceptual foundation. Our review reveals a consensus that an HDT's twinned entity is a human individual. However, there is little agreement on the data flows between the individual and their HDT. We address this shortcoming by proposing three categories based on the level of data integration: Human Digital Models, Human Digital Shadows, and Human Digital Twins. Finally, we synthesise our findings in a domain-agnostic general definition for HDT. We highlight an edge case where the twinned entity is a human individual alongside a strongly coupled technical system, and name it augmented Human Digital Twin (aHDT). The definition and categorisation scheme provide the needed conceptual clarity for inter-disciplinary collaboration to address open challenges. Notable challenges are sensing human data, reliable data transfers and modelling, especially behavioural modelling. Additional ethical issues concerning security, privacy and consent are central to successful HDT adoption. We call for cross-disciplinary efforts to establish a standardised framework and ethical guidelines to enable future developments. © 2025 Elsevier B.V., All rights reserved.</t>
  </si>
  <si>
    <t>Comput Ind</t>
  </si>
  <si>
    <t>Systematic literature review; Digital Twin; Industry 5.0; Human Digital Twin; Human-centricity; Applications domains; Conceptual foundations; Conceptual understanding; Dataflow; Human centricities; Human digital twin; Human-centric; New applications; included</t>
  </si>
  <si>
    <t>YNFWX7UL</t>
  </si>
  <si>
    <t>Ghanbarifard, R.; Almeida, A.H.; Azevedo, A.</t>
  </si>
  <si>
    <t>Structuring Complex System for Digital Twin Development: A Systematic Scoping Review</t>
  </si>
  <si>
    <t>10.1109/ACCESS.2025.3610067</t>
  </si>
  <si>
    <t>https://www.scopus.com/inward/record.uri?eid=2-s2.0-105016645625&amp;doi=10.1109%2FACCESS.2025.3610067&amp;partnerID=40&amp;md5=e9cffb45328dae5702b27a2fb633e97d</t>
  </si>
  <si>
    <t>Complex systems, characterised by high interconnectedness and unpredictability, demand structured approaches to support decision-making, system integration, and operational efficiency. This study aims to develop a comprehensive understanding of these systems to facilitate the implementation of Digital Twins (DTs) in Complex Operations Environments (COEs). A Systematic Literature Review (SLR), following PRISMA methodology, is conducted and complemented by a grounded theory approach to identify, organise, and synthesise system characteristics. The result is a hierarchical conceptualisation comprising eight core categories that capture the essential dimensions of complexity, including: Process and System Interoperability, Human Relationships, Behaviour/Nature, Products and Services, Multi-processes, Performance, System Structure, and Management and Skill Requirements. This framework offers a structured foundation for designing and implementing DT-based decision support in COEs. © 2025 Elsevier B.V., All rights reserved.</t>
  </si>
  <si>
    <t>162285-162303</t>
  </si>
  <si>
    <t>Digital twin; Decision making; Large scale systems; Behavioral research; digital twins; Decision support systems; Complex operations; Complex system characteristic; Complex systems characteristics; complexity conceptualization; Complexity conceptualization; Decision-making systems; hierarchical conceptualization; Hierarchical conceptualization; Hierarchical systems; operational environments; Operational environments; Scoping review; Structured approach; System characteristics; system engineering; System integration; included</t>
  </si>
  <si>
    <t>ESDRTMG9</t>
  </si>
  <si>
    <t>Guinea-Cabrera, M.A.; Holgado-Terriza, J.A.</t>
  </si>
  <si>
    <t>Digital Twins in Software Engineering—A Systematic Literature Review and Vision</t>
  </si>
  <si>
    <t>10.3390/app14030977</t>
  </si>
  <si>
    <t>https://www.scopus.com/inward/record.uri?eid=2-s2.0-85196390166&amp;doi=10.3390%2Fapp14030977&amp;partnerID=40&amp;md5=5eb84543f477f4596d8e60886c4e2f47</t>
  </si>
  <si>
    <t>Featured Application: Secure Integration of the IoT and Digital Twins. Digital twins are a powerful consequence of digital transformation. In fact, they have been applied to many industries to enhance operations, predict needs, improve decision making, or optimize performance, even though the definition of digital twins is still evolving. However, their impact on the software industry is still limited. Thus, this work aims to analyze the current adoption of digital twins in the software industry as a potential path to integrate them into application lifecycle management. To achieve this objective, first, the significant characteristics of current digital twins are analyzed in their application to manufacturing to understand how the knowledge and the lessons learned can be transferred to the software industry. Second, a systematic literature review was conducted on Scopus, the Web of Science, and the ScienceDirect database. The literature review revealed 93 documents after data screening and cleaning 251 initial documents. Our main findings are that digital twins are already influencing and will significantly affect the software industry, revolutionizing various aspects of the software development lifecycle. This study tackles what identifies a digital twin in the software industry, the specific domains and areas where they can be applied in the software lifecycle, and the proposed approaches explored to build digital twins for developing, deploying, and maintaining software systems. Finally, this study proposes some guidelines for building digital twins in the context of application lifecycle management. Determining an appropriate roadmap shortly is essential to achieve a widespread applicability to building suitable digital twins and preparing organizations for the software industry. © 2024 Elsevier B.V., All rights reserved.</t>
  </si>
  <si>
    <t>digital twin; digital transformation; software development; software engineering; software industry; included</t>
  </si>
  <si>
    <t>WXIMSBB7</t>
  </si>
  <si>
    <t>Hunde, J.M.; Ochono, T.S.; Senevirathne, D.; Eneyew, D.D.; Bitsuamlak, G.T.; Capretz, M.A.M.; Grolinger, K.</t>
  </si>
  <si>
    <t>Data-driven and physics-based modeling approaches and their integration in building digital twins: A systematic review</t>
  </si>
  <si>
    <t>Journal of Building Engineering</t>
  </si>
  <si>
    <t>23527102 (ISSN)</t>
  </si>
  <si>
    <t>10.1016/j.jobe.2025.114214</t>
  </si>
  <si>
    <t>https://www.scopus.com/inward/record.uri?eid=2-s2.0-105017734857&amp;doi=10.1016%2Fj.jobe.2025.114214&amp;partnerID=40&amp;md5=c1f58863737ce1119fe9d5a1aa854ffb</t>
  </si>
  <si>
    <t>Interest in digital twin technology has grown significantly within the building sector as part of the broader digital transformation in the architecture, engineering, and construction industry. A building digital twin is a virtual replica that captures a building's static and dynamic behavior through data, information, and models. Digital twin models can be developed using data-driven or physics-based approaches, each with distinct advantages and limitations. Data-driven models can learn complex behaviors from data and scale well, but they require large datasets and often lack interpretability. In contrast, physics-based models offer interpretability and generalizability through fundamental principles but can be computationally demanding. Consequently, building digital twins can benefit greatly from integrating both approaches through hybrid modeling. However, the literature lacks a comprehensive analysis of integration strategies within building digital twins. This study addresses that gap by reviewing advances in data-driven and physics-based modeling and analyzing various integration levels. The results show that most studies rely on siloed models, using either approach independently without leveraging their complementary strengths. Some adopted sequential integration, where one model informs the other but lacks real-time or iterative feedback. A few achieved coupled integration, involving active data exchange and collaboration between models. Only three studies explored fusion integration, where both approaches are fully unified into a single model. Based on this review, a method is proposed for selecting the appropriate level of integration, considering factors such as data availability, interpretability, generalizability, and domain knowledge. Finally, key research gaps and future directions are identified to guide further work. © 2025 Elsevier B.V., All rights reserved.</t>
  </si>
  <si>
    <t>J. Build. Eng.</t>
  </si>
  <si>
    <t>Buildings; Data integration; Digital twin; Construction industry; Building digital twin; Data-driven modeling; Hybrid modeling; Model integration; Physics-based modeling; Systematic Review; Data driven; Building Information Model; Data-driven model; Electronic data interchange; Hybrid model; In-buildings; Integration; Interpretability; Iterative methods; Large datasets; Metadata; Modeling approach; Models integration; Physics-based models; Virtual reality; included</t>
  </si>
  <si>
    <t>YWMG9KT2</t>
  </si>
  <si>
    <t>Jones, D.; Snider, C.; Nassehi, A.; Yon, J.; Hicks, B.</t>
  </si>
  <si>
    <t>CIRP Journal of Manufacturing Science and Technology</t>
  </si>
  <si>
    <t>17555817 (ISSN)</t>
  </si>
  <si>
    <t>https://www.scopus.com/inward/record.uri?eid=2-s2.0-85081219520&amp;doi=10.1016%2Fj.cirpj.2020.02.002&amp;partnerID=40&amp;md5=48ff58a3a8fe6d1030612672627a9ff4</t>
  </si>
  <si>
    <t>While there has been a recent growth of interest in the Digital Twin, a variety of definitions employed across industry and academia remain. There is a need to consolidate research such to maintain a common understanding of the topic and ensure future research efforts are to be based on solid foundations. Through a systematic literature review and a thematic analysis of 92 Digital Twin publications from the last ten years, this paper provides a characterisation of the Digital Twin, identification of gaps in knowledge, and required areas of future research. In characterising the Digital Twin, the state of the concept, key terminology, and associated processes are identified, discussed, and consolidated to produce 13 characteristics (Physical Entity/Twin; Virtual Entity/Twin; Physical Environment; Virtual Environment; State; Realisation; Metrology; Twinning; Twinning Rate; Physical-to-Virtual Connection/Twinning; Virtual-to-Physical Connection/Twinning; Physical Processes; and Virtual Processes) and a complete framework of the Digital Twin and its process of operation. Following this characterisation, seven knowledge gaps and topics for future research focus are identified: Perceived Benefits; Digital Twin across the Product Life-Cycle; Use-Cases; Technical Implementations; Levels of Fidelity; Data Ownership; and Integration between Virtual Entities; each of which are required to realise the Digital Twin. © 2020 Elsevier B.V., All rights reserved.</t>
  </si>
  <si>
    <t>36-52</t>
  </si>
  <si>
    <t>Systematic literature review; Digital Twin; Digital twin; Virtual Twin; Life cycle; Virtual reality; Physical connections; Product life cycles; Perceived benefits; Physical environments; Technical implementation; Virtual connections; included</t>
  </si>
  <si>
    <t>BN2653D2</t>
  </si>
  <si>
    <t>Karabulut, E.; Pileggi, S.F.; Groth, P.; Degeler, V.</t>
  </si>
  <si>
    <t>Ontologies in digital twins: A systematic literature review</t>
  </si>
  <si>
    <t>Future Generation Computer Systems</t>
  </si>
  <si>
    <t>0167739X (ISSN)</t>
  </si>
  <si>
    <t>10.1016/j.future.2023.12.013</t>
  </si>
  <si>
    <t>https://www.scopus.com/inward/record.uri?eid=2-s2.0-85181034395&amp;doi=10.1016%2Fj.future.2023.12.013&amp;partnerID=40&amp;md5=b0373df306d2e0b07ca6325f30170f8c</t>
  </si>
  <si>
    <t>Digital Twins (DT) facilitate monitoring and reasoning processes in cyber–physical systems. They have progressively gained popularity over the past years because of intense research activity and industrial advancements. Cognitive Twins is a novel concept, recently coined to refer to the involvement of Semantic Web technology in DTs. Recent studies address the relevance of ontologies and knowledge graphs in the context of DTs, in terms of knowledge representation, interoperability and automatic reasoning. However, there is no comprehensive analysis of how semantic technologies, and specifically ontologies, are utilized within DTs. This Systematic Literature Review (SLR) is based on the analysis of 82 research articles, that either propose or benefit from ontologies with respect to DT. The paper uses different analysis perspectives, including a structural analysis based on a reference DT architecture, and an application-specific analysis to specifically address the different domains, such as Manufacturing and Infrastructure. The review also identifies open issues and possible research directions on the usage of ontologies and knowledge graphs in DTs. © 2024 Elsevier B.V., All rights reserved.</t>
  </si>
  <si>
    <t>442-456</t>
  </si>
  <si>
    <t>Future Gener Comput Syst</t>
  </si>
  <si>
    <t>Internet of things; Systematic literature review; Digital twin; Cyber-physical systems; Cyber–physical systems; Knowledge graphs; Ontology; Semantic web; Industrial research; Cybe-physical systems; Ontology's; Knowledge graph; Monitoring process; Ontology graphs; Reasoning process; Research activities; Semantic Web; Semantic-Web; included</t>
  </si>
  <si>
    <t>47TR8Z9D</t>
  </si>
  <si>
    <t>Kreuzer, T.; Papapetrou, P.; Zdravkovic, J.</t>
  </si>
  <si>
    <t>Artificial intelligence in digital twins—A systematic literature review</t>
  </si>
  <si>
    <t>Data and Knowledge Engineering</t>
  </si>
  <si>
    <t>0169023X (ISSN)</t>
  </si>
  <si>
    <t>10.1016/j.datak.2024.102304</t>
  </si>
  <si>
    <t>https://www.scopus.com/inward/record.uri?eid=2-s2.0-85190070128&amp;doi=10.1016%2Fj.datak.2024.102304&amp;partnerID=40&amp;md5=3ba1ba433815b394e18632a808eb6a25</t>
  </si>
  <si>
    <t>Artificial intelligence and digital twins have become more popular in recent years and have seen usage across different application domains for various scenarios. This study reviews the literature at the intersection of the two fields, where digital twins integrate an artificial intelligence component. We follow a systematic literature review approach, analyzing a total of 149 related studies. In the assessed literature, a variety of problems are approached with an artificial intelligence-integrated digital twin, demonstrating its applicability across different fields. Our findings indicate that there is a lack of in-depth modeling approaches regarding the digital twin, while many articles focus on the implementation and testing of the artificial intelligence component. The majority of publications do not demonstrate a virtual-to-physical connection between the digital twin and the real-world system. Further, only a small portion of studies base their digital twin on real-time data from a physical system, implementing a physical-to-virtual connection. © 2024 Elsevier B.V., All rights reserved.</t>
  </si>
  <si>
    <t>Data Knowl Eng</t>
  </si>
  <si>
    <t>Artificial intelligence; Machine learning; Data mining; Literature review; Systematic literature review; Digital twin; Business intelligence; Modeling approach; E-learning; Machine-learning; Real-time data; Applications domains; Literature reviews; Business-intelligence; Depth models; Physical connections; Real-world system; included</t>
  </si>
  <si>
    <t>D3F2QJVE</t>
  </si>
  <si>
    <t>Kuštelega, M.; Mekovec, R.; Shareef, A.</t>
  </si>
  <si>
    <t>Privacy and security challenges of the digital twin: systematic literature review</t>
  </si>
  <si>
    <t>Journal of Universal Computer Science</t>
  </si>
  <si>
    <t>0948695X (ISSN); 09486968 (ISSN)</t>
  </si>
  <si>
    <t>10.3897/jucs.114607</t>
  </si>
  <si>
    <t>https://www.scopus.com/inward/record.uri?eid=2-s2.0-85215411229&amp;doi=10.3897%2Fjucs.114607&amp;partnerID=40&amp;md5=922bff14ca4a6e45eee740c5d3346c01</t>
  </si>
  <si>
    <t>As technology advances and becomes more extensively used, digital twins are likely to play an increasingly crucial role in defining the future of industry, trade, and society. Despite the stated advantages and potential of digital twin technology, certain research and implementation gaps exist, which have hindered the adoption and advancement of digital twins. This study investigates how current research on the digital twin implementations has been positioned in front of practical challenges focused on privacy and security issues. The research method adopted was a systematic literature review, employing the PRISMA approach. A total of 47 publications were identified and analyzed. The results indicate that the privacy and security challenges for digital twin implementation are complicated and may be divided into six primary groups: (1) data privacy, (2) data security, (3) data management, (4) data infrastructure and standardization, (5) ethical and moral issues, (6) legal and social issues. © 2025 Elsevier B.V., All rights reserved.</t>
  </si>
  <si>
    <t>1782-1806</t>
  </si>
  <si>
    <t>J. Univers. Comput. Sci.</t>
  </si>
  <si>
    <t>Publisher: IICM</t>
  </si>
  <si>
    <t>literature review; Digital twin; privacy; challenges; PRISMA; security; included</t>
  </si>
  <si>
    <t>6ELYDV5G</t>
  </si>
  <si>
    <t>Listl, F.G.; Dittler, D.; Hildebrandt, G.; Stegmaier, V.; Jazdi, N.; Weyrich, M.</t>
  </si>
  <si>
    <t>Knowledge Graphs in the Digital Twin: A Systematic Literature Review About the Combination of Semantic Technologies and Simulation in Industrial Automation</t>
  </si>
  <si>
    <t>10.1109/ACCESS.2024.3514923</t>
  </si>
  <si>
    <t>https://www.scopus.com/inward/record.uri?eid=2-s2.0-85212072573&amp;doi=10.1109%2FACCESS.2024.3514923&amp;partnerID=40&amp;md5=8370c37531ebbe7cb82c6cd7369a4d70</t>
  </si>
  <si>
    <t>The ongoing digitization of the industrial sector has reached a pivotal juncture with the emergence of Digital Twins, offering a digital representation of physical assets and processes. One key aspect of these digital representations is the utilization of simulation models, enabling a deeper insight into the asset's current state and its characteristics. This paper asserts that the next evolutionary step in this digitization journey involves the integration of intelligent linkages between diverse simulation models within the Digital Twin framework. Crucially, for the Digital Twin to be a scalable and cost-effective solution, there is a pressing need for automated adaption, (re-)configuration, and generation of simulation models. Recognizing the inherent challenges in achieving such automation, this paper analyses the utilization of knowledge graphs as a potentially very suitable technological solution. Knowledge graphs, acting as interconnected and interrelated databases, provide a means of seamlessly integrating different data sources, facilitating the efficient integration and automated adaption of data and (simulation) models in the Digital Twin. We conducted a comprehensive literature review to analyze the current landscape of knowledge graphs in the context of Digital Twins with a focus on simulation models. By addressing the challenges associated with scalability and maintenance, this research contributes to the effective adoption of Digital Twins in the industrial sector, paving the way for enhanced efficiency, adaptability, and resilience in the face of evolving technological landscapes. © 2024 Elsevier B.V., All rights reserved.</t>
  </si>
  <si>
    <t>187828-187843</t>
  </si>
  <si>
    <t>Simulation; simulation; Systematic literature review; Digital twin; Knowledge graphs; Industrial sector; 'current; Knowledge graph; Digital representations; Digitisation; Industrial automation; knowledge graph; semantic technologies; Semantic technologies; Simulation model; included</t>
  </si>
  <si>
    <t>7HEYRKR8</t>
  </si>
  <si>
    <t>Liu, X.; Jiang, D.; Tao, B.; Xiang, F.; Jiang, G.; Sun, Y.; Kong, J.; Li, G.</t>
  </si>
  <si>
    <t>Advanced Engineering Informatics</t>
  </si>
  <si>
    <t>14740346 (ISSN)</t>
  </si>
  <si>
    <t>https://www.scopus.com/inward/record.uri?eid=2-s2.0-85147190635&amp;doi=10.1016%2Fj.aei.2023.101876&amp;partnerID=40&amp;md5=1fef1c7d5560fff85bb43b7e52e3f651</t>
  </si>
  <si>
    <t>The digital twin is a crucial technology for realizing smart manufacturing and industrial digital transformation, which has received extensive attention and research from industry and academia. After 20 years of development, the application area of digital twins has been pervasive. Due to the diversity of application areas, various reference models and research methods have been presented for the components of the digital twin. Therefore, this paper provides systematic research of current studies on the basic components of the digital twin. This paper analyzed 117 articles from 2017 to 2022. By clarifying the relationship between the digital twin and the cyber-physical system, it first clarified the definition, characteristics, and application areas of the digital twin. On this basis, the research methodology of the core components of the digital twin (physical entities, virtual models, and twin data) is analyzed. At the same time, the application areas of digital twins are analyzed and delineated, and the application potential of the digital twin is explored. Finally, the research results and future research recommendations are presented. © 2023 Elsevier B.V., All rights reserved.</t>
  </si>
  <si>
    <t>Adv. Eng. Inf.</t>
  </si>
  <si>
    <t>Digital transformation; Digital Twin; Applications; Physical entity; Twin data; Virtual model; Industrial research; Systematic Review; Embedded systems; Smart manufacturing; Virtual models; Reference modeling; Application area; Crucial technology; Model method; included</t>
  </si>
  <si>
    <t>AQHYP64S</t>
  </si>
  <si>
    <t>Massaro, A.</t>
  </si>
  <si>
    <t>Electronic Artificial Intelligence and Digital Twins in Industry 5.0: A Systematic Review and Perspectives</t>
  </si>
  <si>
    <t>Machines</t>
  </si>
  <si>
    <t>20751702 (ISSN)</t>
  </si>
  <si>
    <t>10.3390/machines13090755</t>
  </si>
  <si>
    <t>https://www.scopus.com/inward/record.uri?eid=2-s2.0-105017090734&amp;doi=10.3390%2Fmachines13090755&amp;partnerID=40&amp;md5=cca26277ff5f00407bca2077f6ce4268</t>
  </si>
  <si>
    <t>This review analyzes the Electronic Digital Twin (EDT) tools characterizing the industrial transformation phase from Industry 4.0 to Industry 5.0. The goal is to provide innovative research EDT solutions to integrate in manufacturing production processes. Specifically, this research is focused on the possibility of combining the advanced technologies and electronics and mechatronics of industrial machines with Artificial Intelligence (AI) algorithms. Furthermore, this review provides important elements about possible future implementations of AI-EDTs and some circuital examples to support the understanding of the concept of circuit simulation in EDT models. EDTs are useful to comprehend the modeling concepts functional to the AI application using the output of the circuit simulations. The output of the circuit is used to train the AI model, thus strengthening the capability to classify and predict the real behavior of production machines with a good accuracy. This review discusses perspectives, limits, and advantages of EDTs and is useful to define new research patterns integrating structured EDTs in advanced industrial environments. The focus of this paper is the definition of possible perspectives of EDT implementations, including AI, in data-driven processes in specific strategic areas of industrial research by classifying the scientific topics in six main pillars. This paper is also suitable for the researcher to develop innovative topics for projects scaled into different work packages based on EDT facilities. © 2025 Elsevier B.V., All rights reserved.</t>
  </si>
  <si>
    <t>Mach.</t>
  </si>
  <si>
    <t>Industry 5.0; advanced manufacturing modeling; AI-based modeling; Electronic Digital Twins; included</t>
  </si>
  <si>
    <t>K445EJH6</t>
  </si>
  <si>
    <t>Mayer, A.; Greif, L.; Häußermann, T.M.; Otto, S.; Kastner, K.; El Bobbou, S.; Chardonnet, J.-R.; Reichwald, J.; Fleischer, J.; Ovtcharova, J.</t>
  </si>
  <si>
    <t>Digital Twins, Extended Reality, and Artificial Intelligence in Manufacturing Reconfiguration: A Systematic Literature Review</t>
  </si>
  <si>
    <t>10.3390/su17052318</t>
  </si>
  <si>
    <t>https://www.scopus.com/inward/record.uri?eid=2-s2.0-86000775946&amp;doi=10.3390%2Fsu17052318&amp;partnerID=40&amp;md5=43be33f4644d39296f2d527a1272e2af</t>
  </si>
  <si>
    <t>This review draws on a systematic literature review and bibliometric analysis to examine how Digital Twins (DTs), Extended Reality (XR), and Artificial Intelligence (AI) support the reconfiguration of Cyber–Physical Systems (CPSs) in modern manufacturing. The review aims to provide an updated overview of these technologies’ roles in CPS reconfiguration, summarize best practices, and suggest future research directions. In a two-phase process, we first analyzed related work to assess the current state of assisted manufacturing reconfiguration and identify gaps in existing reviews. Based on these insights, an adapted PRISMA methodology was applied to screen 165 articles from the Scopus and Web of Science databases, focusing on those published between 2019 and 2025 addressing DT, XR, and AI integration in Reconfigurable Manufacturing Systems (RMSs). After applying the exclusion criteria, 38 articles were selected for final analysis. The findings highlight the individual and combined impact of DTs, XR, and AI on reconfiguration processes. DTs notably reduce reconfiguration time and improve system availability, AI enhances decision-making, and XR improves human–machine interactions. Despite these advancements, a research gap exists regarding the combined application of these technologies, indicating potential areas for future exploration. The reviewed studies recognized limitations, especially due to diverse study designs and methodologies that may introduce risks of bias, yet the review offers insight into the current DT, XR, and AI landscape in RMS and suggests areas for future research. © 2025 Elsevier B.V., All rights reserved.</t>
  </si>
  <si>
    <t>artificial intelligence; machine learning; literature review; decision making; digital twins; cyber–physical systems; extended reality; human–machine interaction; manufacturing; nature-society relations; reconfigurable manufacturing systems; included</t>
  </si>
  <si>
    <t>JBAVLRA5</t>
  </si>
  <si>
    <t>bookSection</t>
  </si>
  <si>
    <t>Ofosu, R.; Hosseinian-Far, A.; Sarwar, D.</t>
  </si>
  <si>
    <t>Digital Twin Technologies, Architecture, and Applications: A Comprehensive Systematic Review and Bibliometric Analysis</t>
  </si>
  <si>
    <t>Adv. Sci. Tech. Sec. Appl.</t>
  </si>
  <si>
    <t>23639466 (ISSN); 16135113 (ISSN)</t>
  </si>
  <si>
    <t>https://www.scopus.com/inward/record.uri?eid=2-s2.0-85129655945&amp;doi=10.1007%2F978-3-030-98225-6_5&amp;partnerID=40&amp;md5=de0feb522c7689344c18f217a7c97903</t>
  </si>
  <si>
    <t>Digital Twins, as a suite of technologies is progressively developing significant momentum in several fields of study. Various research works have been conducted outlining the concept, the underlying technologies, general and context-specific architectures, and applications. This study has been undertaken to identify relevant research areas, key authors, publishers, and geographical distribution of publications on digital twins through a systematic review and bibliometric analysis, to inform the trajectories of future research in the field. A keyword-based search for journals was first conducted in Web of Science Core Collection to obtain documents relevant for this study, and a systematic review was performed in accordance with the PRISMA guidelines. A bibliometric analysis was then performed on the extracted data using the VOSviewer software. The Tableau software and Microsoft Excel were also used to analyse and visualise some of insights derived from the analysis. © 2022 Elsevier B.V., All rights reserved.</t>
  </si>
  <si>
    <t>105-142</t>
  </si>
  <si>
    <t>Springer</t>
  </si>
  <si>
    <t>Journal Abbreviation: Adv. Sci. Tech. Sec. Appl. DOI: 10.1007/978-3-030-98225-6_5</t>
  </si>
  <si>
    <t>Architecture; Digital twin; Digital twin application; DT; Reference model; included</t>
  </si>
  <si>
    <t>KG79BWDU</t>
  </si>
  <si>
    <t>Ohueri, C.C.; Masrom, M.A.N.; Seghier, T.E.</t>
  </si>
  <si>
    <t>Digital twin for decarbonizing operating buildings: A systematic review and implementation framework development</t>
  </si>
  <si>
    <t>Energy and Buildings</t>
  </si>
  <si>
    <t>03787788 (ISSN)</t>
  </si>
  <si>
    <t>10.1016/j.enbuild.2024.114567</t>
  </si>
  <si>
    <t>https://www.scopus.com/inward/record.uri?eid=2-s2.0-85200210203&amp;doi=10.1016%2Fj.enbuild.2024.114567&amp;partnerID=40&amp;md5=1d09c50942a0181f58ba3b4c6adc5220</t>
  </si>
  <si>
    <t>Digital Twin (DT) technology presents a transformative approach to retrofitting practices, with the potential of decarbonizing operating buildings (DOBs) by up to 30 %. However, the fragmented nature of the extensive International Organization for Standardization (ISO) guidelines for carbon assessment and the complexity of DT systems, hinder practitioners’ efforts to fully realize DT's potential in achieving the 2050 zero-emission target for operating buildings. This is evident in the continuous increase in operational carbon emissions from buildings, which reached an all-time high of 10 gigatonnes (GtCO&lt;inf&gt;2&lt;/inf&gt;) in 2022, and the mere 13 % global adoption rate of DT in building retrofitting. The aim of this review study is to develop a DT-driven Decarbonization Framework for Operating Buildings (DT-DeFOB) – a pathway for cohesive implementation of complex DT systems for DOBs. Using the inclusion and exclusion method, 243 relevant studies from 2018 to 2023 were selected for scientometrics mapping and systematic literature review (SLR). Furthermore, 20 ISO guidelines were selected for comprehensive document analysis. The findings indicated a growing trajectory in DT literature; however, a limited definitive trend in its effectiveness for DOB was evident. The SLR highlighted a lack of dynamic carbon criteria tailored for operating buildings, as well as a notable absence of a cohesive pathway for implementing multifaceted DT systems in DOBs. Hence, the critical components of DT-DeFOB were established, including a Dynamic Operational Carbon Reduction Guide (DOCReG) – a crucial component of DT-DeFOB developed via document analysis of the 20 selected ISO, Technology Interconnections, Human Engagement, Data Integration, and Lifecycle Management. DT-DeFOB provides a pioneering blueprint to help achieve the construction sector's 2050 net-zero carbon target, presenting a ground-breaking approach for impactful climate change mitigation strategies. © 2024 Elsevier B.V., All rights reserved.</t>
  </si>
  <si>
    <t>Energy Build.</t>
  </si>
  <si>
    <t>Climate change; Complex systems; Systematic literature review; Buildings; Information management; Data integration; Digital twin; Building decarbonization; Operational carbon reduction; Zero Emission Buildings (ZEBs); Construction industry; Life cycle; Retrofitting; Acidification; Air pollution; Carbon reduction; Decarbonisation; Decarbonising; Decarbonization; Documents analysis; International organization for standardizations; Zero emission building; Zero emission buildings; included</t>
  </si>
  <si>
    <t>4WGPM23V</t>
  </si>
  <si>
    <t>Otsu, K.; Masó, J.</t>
  </si>
  <si>
    <t>Digital Twins for Research and Innovation in Support of the European Green Deal Data Space: A Systematic Review</t>
  </si>
  <si>
    <t>Remote Sensing</t>
  </si>
  <si>
    <t>20724292 (ISSN); 9780891814184 (ISBN); 0891814183 (ISBN); 9780123694072 (ISBN)</t>
  </si>
  <si>
    <t>10.3390/rs16193672</t>
  </si>
  <si>
    <t>https://www.scopus.com/inward/record.uri?eid=2-s2.0-85206489227&amp;doi=10.3390%2Frs16193672&amp;partnerID=40&amp;md5=afa43be925d957290674064b6bad9b56</t>
  </si>
  <si>
    <t>According to the European Data Strategy established in 2020, the European Open Science Cloud (EOSC) is described as “the basis for a science, research and innovation data space… and will be connected and articulated with the sectoral data spaces”, being one of the 14 European Common Data Spaces. While current cross-sectoral interactions with the EOSC are realised through the association’s Health Data Task Force, advancements in other EU priorities, such as the Green Deal and the Digital Strategy, should be accelerated in the green and digital transitions and integrated by reinforcing each other to be climate-neutral by 2050. With this motivation, this paper systematically reviews data spaces and digital twins (DTs) within the context of research and innovation. Specifically, focusing on the relevance of the EOSC to the Green Deal Data Space (GDDS) and DTs of the Earth, the relationship between them is explored using a topic search with various keyword combinations in the Web of Science and CORDIS databases. Based on the selected scientific articles and projects, collaboration opportunities are mapped to connect relevant stakeholders. Furthermore, existing and developing service components that could contribute to technical building blocks for the GDDS are identified. In summary, key findings are highlighted, addressing the current gaps and opportunities among the GDDS initiatives presented in this review. © 2024 Elsevier B.V., All rights reserved.</t>
  </si>
  <si>
    <t>Remote Sens.</t>
  </si>
  <si>
    <t>Digital transition; Systematic Review; digital twins; 'current; Data space; data spaces; Destination earth; Destination Earth; digital transition; European green deal; European Green Deal; European open science cloud; European Open Science Cloud; Green development; Open science; Science clouds; Science research; included</t>
  </si>
  <si>
    <t>4U3Y96H4</t>
  </si>
  <si>
    <t>Palley, B.; Poças Martins, J.; Bernardo, H.; Rossetti, R.</t>
  </si>
  <si>
    <t>Integrating Machine Learning and Digital Twins for Enhanced Smart Building Operation and Energy Management: A Systematic Review</t>
  </si>
  <si>
    <t>Urban Science</t>
  </si>
  <si>
    <t>24138851 (ISSN)</t>
  </si>
  <si>
    <t>10.3390/urbansci9060202</t>
  </si>
  <si>
    <t>https://www.scopus.com/inward/record.uri?eid=2-s2.0-105008981432&amp;doi=10.3390%2Furbansci9060202&amp;partnerID=40&amp;md5=2278f284959edfdce4dad18669402efe</t>
  </si>
  <si>
    <t>Artificial Intelligence has recently expanded across various applications. Machine Learning, a subset of Artificial Intelligence, is a powerful technique for identifying patterns in data to support decision making and managing the increasing volume of information. Simultaneously, Digital Twins have been applied in several fields. In this context, combining Digital Twins, Machine Learning, and Smart Buildings offers significant potential to improve energy efficiency and operational effectiveness in building management. This review aims to identify and analyze studies that explore the application of Machine Learning and Digital Twins for operation and energy management in Smart Buildings, providing an updated perspective on these rapidly evolving topics. The methodology follows the PRISMA guidelines for systematic reviews, using Scopus and Web of Science databases. This review identifies the main concepts, objectives, and trends emerging from the literature. Furthermore, the findings confirm the recent growth in research combining Machine Learning and Digital Twins for building management, revealing diverse approaches, tools, methods, and challenges. Finally, this paper highlights existing research gaps and outlines opportunities for future investigation. © 2025 Elsevier B.V., All rights reserved.</t>
  </si>
  <si>
    <t>Urban. Sci.</t>
  </si>
  <si>
    <t>machine learning; energy management; digital twins; smart buildings; included</t>
  </si>
  <si>
    <t>HFWGZ74J</t>
  </si>
  <si>
    <t>Pişirgen, A.; Areta Hiziroglu, O.A.</t>
  </si>
  <si>
    <t>Applications of Digital Twin in Precision Medicine: A Systematic Review</t>
  </si>
  <si>
    <t>Int. Conf. New Trends Comput. Sci., ICTCS</t>
  </si>
  <si>
    <t>9798331523411 (ISBN)</t>
  </si>
  <si>
    <t>10.1109/ICTCS65341.2025.10989480</t>
  </si>
  <si>
    <t>https://www.scopus.com/inward/record.uri?eid=2-s2.0-105007306263&amp;doi=10.1109%2FICTCS65341.2025.10989480&amp;partnerID=40&amp;md5=e0a87df2258595a4ff9171a03970ff8e</t>
  </si>
  <si>
    <t>Digital twin (DT) technology has emerged as a transformative tool in healthcare and precision medicine, enabling personalized care through real-time simulations, predictive modelling, and patient-specific diagnostics. This systematic review analyses 94 peer-reviewed articles from the Scopus database, highlighting the role of machine learning (ML) techniques—such as supervised, unsupervised, and hybrid methods—in advancing DT applications. The study explores the integration of emerging technologies, including blockchain and generative artificial intelligence (AI), to enhance DT functionality and data security. Spanning disciplines such as cardiology, oncology, neurology, and metabolic disorders, the research underscores the interdisciplinary applications of DTs while addressing critical ethical concerns like data privacy, algorithmic bias, and regulatory challenges. Despite limitations, including reliance on a single database and subjective categorization, this review demonstrates the transformative potential of DTs and suggests future research directions in quantum computing integration and patient-centered DT design. © 2025 Elsevier B.V., All rights reserved.</t>
  </si>
  <si>
    <t>392-399</t>
  </si>
  <si>
    <t>Journal Abbreviation: Int. Conf. New Trends Comput. Sci., ICTCS</t>
  </si>
  <si>
    <t>artificial intelligence; digital twin; Predictive models; Systematic Review; Supervised learning; Cardiography; Emerging technologies; Hybrid method; Machine learning techniques; Neurophysiology; Patient specific; precision medicine; Realtime simulation (RTS); Scopus database; Supervised methods; Unsupervised learning; Unsupervised method; included; included.i1</t>
  </si>
  <si>
    <t>B9JW79B5</t>
  </si>
  <si>
    <t>Pretel, E.; Moya, A.; Navarro, E.; López-Jaquero, V.; González, P.</t>
  </si>
  <si>
    <t>Analysing the synergies between Multi-agent Systems and Digital Twins: A systematic literature review</t>
  </si>
  <si>
    <t>Information and Software Technology</t>
  </si>
  <si>
    <t>09505849 (ISSN)</t>
  </si>
  <si>
    <t>10.1016/j.infsof.2024.107503</t>
  </si>
  <si>
    <t>https://www.scopus.com/inward/record.uri?eid=2-s2.0-85195424921&amp;doi=10.1016%2Fj.infsof.2024.107503&amp;partnerID=40&amp;md5=ce0d2d117645a9406b3858fcfcd59764</t>
  </si>
  <si>
    <t>Context: Digital Twins (DTs) are used to augment physical entities by exploiting assorted computational approaches applied to the virtual twin counterpart. A DT is generally described as a physical entity, its virtual counterpart, and the data connections between them. Multi-Agent Systems (MAS) paradigm is alike DTs in many ways. Agents of MAS are entities operating and interacting in a specific environment, while exploring and collecting data to solve some tasks. Objective: This paper presents the results of a systematic literature review (SLR) focused on the analysis of current proposals exploiting the synergies of DTs and MAS. This research aims to synthesize studies that focus on the use of MAS to support DTs development and MAS that exploit DTs, paving the way for future research. Method: A SLR methodology was used to conduct a detailed study analysis of 64 primary studies out of a total of 220 studies that were initially identified. This SLR analyses three research questions related to the synergies between MAS and DT. Results: The most relevant findings of this SLR and their implications for further research are the following: i) most of the analyzed proposals design digital shadows rather than DT; ii) they do not fully support the properties expected from a DT; iii) most of the MAS properties have not fully exploited for the development of DT; iv) ontologies are frequently used for specifying semantic models of the physical twin. Conclusions: Based on the results of this SLR, our conclusions for the community are presented in a research agenda that highlights the need of innovative theoretical proposals and design frameworks that guide the development of DT. They should be defined exploiting the properties of MAS to unleash the full potential of DT. Finally, ontologies for machine learning models should be designed for its use in DT. © 2024 Elsevier B.V., All rights reserved.</t>
  </si>
  <si>
    <t>Inf Software Technol</t>
  </si>
  <si>
    <t>Internet of things; Internet of Things; Literature review; Systematic literature review; Digital twin; MAS; Multi-agent system; Ontology; 'current; Property; Community IS; Computational approach; Data connection; Literature reviews; Multi agent systems; Ontology's; Research questions; Semantic modelling; Semantics; included</t>
  </si>
  <si>
    <t>ZJQBKSAQ</t>
  </si>
  <si>
    <t>Rojas, L.; Peña, Á.; Garcia, J.</t>
  </si>
  <si>
    <t>AI-Driven Predictive Maintenance in Mining: A Systematic Literature Review on Fault Detection, Digital Twins, and Intelligent Asset Management</t>
  </si>
  <si>
    <t>10.3390/app15063337</t>
  </si>
  <si>
    <t>https://www.scopus.com/inward/record.uri?eid=2-s2.0-105000967139&amp;doi=10.3390%2Fapp15063337&amp;partnerID=40&amp;md5=2ce8ac8861b9263c62ff1948af512185</t>
  </si>
  <si>
    <t>The mining industry faces increasing challenges in maintaining high production levels while minimizing unplanned failures and operational costs. Critical assets, such as crushers, conveyor belts, mills, and ventilation systems, operate under extreme conditions, leading to accelerated wear and failure risks. Traditional maintenance strategies often fail to prevent unexpected downtimes, safety hazards, and economic losses. As a response, industries are integrating predictive monitoring technologies, including machine learning, the Internet of Things, and digital twins, to enhance early fault detection and optimize maintenance strategies. This Systematic Literature Review analyzes 166 high-impact studies from Scopus and Web of Science, identifying key trends in fault detection algorithms, hybrid AI models, and real-time monitoring techniques. The findings highlight the increasing adoption of deep learning, reinforcement learning, and digital twins for anomaly detection and process optimization. Additionally, AI-driven methods are improving sensor-based data acquisition and asset management, extending equipment lifecycles while reducing failures. Despite these advancements, challenges such as data standardization, model scalability, and system interoperability persist, requiring further research. Future work should focus on real-time AI applications, explainable models, and academia-industry collaboration to accelerate the implementation of intelligent maintenance solutions, ensuring greater reliability, efficiency, and sustainability in mining operations. © 2025 Elsevier B.V., All rights reserved.</t>
  </si>
  <si>
    <t>Deep learning; Deep reinforcement learning; Systematic literature review; Predictive maintenance; Asset management; predictive maintenance; Assets management; digital twins; Maintenance strategies; deep learning; Machine-learning; Competition; Belt conveyors; Crushers; Fault detection algorithm; fault detection algorithms; Faults detection; Industrial IoT; Loss prevention; machine learning in mining; Machine learning in mining; Operating costs; Preventive maintenance; Reinforcement learning; Resource valuation; included; included.i1</t>
  </si>
  <si>
    <t>Z6WDPIB7</t>
  </si>
  <si>
    <t>Sacoto-Cabrera, E.J.; Pérez-Torres, A.; Tello-Oquendo, L.; Cerrada, M.</t>
  </si>
  <si>
    <t>IoT, AI, and Digital Twins in Smart Cities: A Systematic Review for a Thematic Mapping and Research Agenda</t>
  </si>
  <si>
    <t>Smart Cities</t>
  </si>
  <si>
    <t>26246511 (ISSN)</t>
  </si>
  <si>
    <t>10.3390/smartcities8050175</t>
  </si>
  <si>
    <t>https://www.scopus.com/inward/record.uri?eid=2-s2.0-105020198219&amp;doi=10.3390%2Fsmartcities8050175&amp;partnerID=40&amp;md5=23e9e085154401155205b39c42dc136f</t>
  </si>
  <si>
    <t>Highlights: What are the main findings? This paper presents an SLR comprising the analysis of 64 studies on Urban Digital Twins, IoT, and AI in the development of smart cities using the PRISMA framework. The review identifies three thematic groups and key research points, while revealing gaps such as limited empirical evidence and interoperability challenges. What is the implication of the main finding? This paper highlights the need for integrated, data-driven strategies to improve urban management and policies through Urban Digital Twins, IoT, and AI. The review allows proposing a research agenda to guide future innovations, supporting the development of more sustainable, resilient, and smart cities. 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 © 2025 Elsevier B.V., All rights reserved.</t>
  </si>
  <si>
    <t>Smart. Cities.</t>
  </si>
  <si>
    <t>blockchain; smart cities; Internet of Things (IoT); Artificial Intelligence (AI); Digital Twins (DTw); edge–cloud architecture; interoperability; Systematic Literature Review (SLR); Urban Digital Twins (UDTw); urban planning; included; included.i1</t>
  </si>
  <si>
    <t>5I4ZNF27</t>
  </si>
  <si>
    <t>Sadri, H.; Yitmen, I.; Tagliabue, L.C.; Westphal, F.; Tezel, A.; Taheri, A.; Sibenik, G.</t>
  </si>
  <si>
    <t>Integration of Blockchain and Digital Twins in the Smart Built Environment Adopting Disruptive Technologies—A Systematic Review</t>
  </si>
  <si>
    <t>10.3390/su15043713</t>
  </si>
  <si>
    <t>https://www.scopus.com/inward/record.uri?eid=2-s2.0-85149252247&amp;doi=10.3390%2Fsu15043713&amp;partnerID=40&amp;md5=c5643201463b37d16e10461c9a18b6fb</t>
  </si>
  <si>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 © 2023 Elsevier B.V., All rights reserved.</t>
  </si>
  <si>
    <t>Publisher: MDPI</t>
  </si>
  <si>
    <t>artificial intelligence; digital twin; Internet; Internet of Things; machine learning; blockchain; building; data management; implementation process; building industry; technology adoption; technology fusion; included; included.i1</t>
  </si>
  <si>
    <t>MHBU5LCL</t>
  </si>
  <si>
    <t>Semeraro, C.; Lezoche, M.; Panetto, H.; Dassisti, M.</t>
  </si>
  <si>
    <t>https://www.scopus.com/inward/record.uri?eid=2-s2.0-85105600759&amp;doi=10.1016%2Fj.compind.2021.103469&amp;partnerID=40&amp;md5=41206d190fd9540272f0138326c7f409</t>
  </si>
  <si>
    <t>Manufacturing enterprises are facing the need to align themselves to the new information technologies (IT) and respond to the new challenges of variable market demand. One of the key enablers of this IT revolution toward Smart Manufacturing is the digital twin (DT). It embeds a “virtual” image of the reality constantly synchronized with the real operating scenario to provide sound information (knowledge model) to reality interpretation model to draw sound decisions. The paper aims at providing an up-to date picture of the main DT components, their features and interaction problems. The paper aims at clearly tracing the ongoing research and technical challenges in conceiving and building DTs as well, according to different application domains and related technologies. To this purpose, the main questions answered here are: ‘What is a Digital Twin?’; ‘Where is appropriate to use a Digital Twin?’; ‘When has a Digital Twin to be developed?’; ‘Why should a Digital Twin be used?’; ‘How to design and implement a Digital Twin?’; ‘What are the main challenges of implementing a Digital Twin?’. This study tries to answer to the previous questions funding on a wide systematic literature review of scientific research, tools, and technicalities in different application domains. © 2021 Elsevier B.V., All rights reserved.</t>
  </si>
  <si>
    <t>Industry 4.0; Systematic literature review; Digital twin; Cyber-physical systems; Predictive manufacturing; Smart manufacturing; Manufacture; Design and implements; Interaction problems; Interpretation model; Manufacturing enterprise; Scientific researches; Technical challenges; included; included.i1</t>
  </si>
  <si>
    <t>CQ3HWA3F</t>
  </si>
  <si>
    <t>Shah, U.M.; Minhas, D.M.; Kifayat, K.; Shah, K.A.; FREY, G.</t>
  </si>
  <si>
    <t>Threat Modeling and Attacks on Digital Twins of Vehicles: A Systematic Literature Review</t>
  </si>
  <si>
    <t>10.3390/smartcities8050142</t>
  </si>
  <si>
    <t>https://www.scopus.com/inward/record.uri?eid=2-s2.0-105020026946&amp;doi=10.3390%2Fsmartcities8050142&amp;partnerID=40&amp;md5=82ccf5690826dde27880a069d354bbe0</t>
  </si>
  <si>
    <t>Highlights: What are the main findings? This paper conducts an in-depth review of 23 studies on threat modeling and security testing in automotive digital twins using the PRISMA framework. It identifies deficiencies and proposes improved methodologies to enhance current security and safety validation practices for interconnected automotive systems. What is the implication of the main finding? This paper highlights the need for more advanced threat modeling and emphasizes the importance of improving cybersecurity to prevent potential attacks on connected vehicles. It suggests future research and practical strategies for secure digital twin system design in the automotive sector, supporting the development of resilient smart urban environments through a robust interconnected vehicle security framework. This systematic literature review pioneers the synthesis of cybersecurity challenges for automotive digital twins (DTs), a critical yet underexplored frontier in connected vehicle security. The notion of digital twins, which act as simulated counterparts to real-world systems, is revolutionizing secure system design within the automotive sector. As contemporary vehicles become more dependent on interconnected electronic systems, the likelihood of cyber threats is escalating. This comprehensive literature review seeks to analyze existing research on threat modeling and security testing in automotive digital twins, aiming to pinpoint emerging patterns, evaluate current approaches, and identify future research avenues. Guided by the PRISMA framework, we rigorously analyze 23 studies from 882 publications to address three research questions: (1) How are threats to automotive DTs identified and assessed? (2) What methodologies drive threat modeling? Lastly, (3) what techniques validate threat models and simulate attacks? The novelty of this study lies in its structured classification of digital twin types (physics based, data driven, hybrid), its inclusion of a groundbreaking threat taxonomy across architectural layers (e.g., ECU tampering, CAN-Bus spoofing), the integration of the 5C taxonomy with layered architectures for DT security testing, and its analysis of domain-specific tools such as VehicleLang and embedded intrusion detection systems. The findings expose significant deficiencies in the strength and validation of threat models, highlighting the necessity for more adaptable and comprehensive testing methods. By exposing gaps in scalability, trust, and safety, and proposing actionable solutions aligned with UNECE R155, this SLR delivers a robust framework to advance secure DT development, empowering researchers and industry to fortify vehicle resilience against evolving cyber threats. © 2025 Elsevier B.V., All rights reserved.</t>
  </si>
  <si>
    <t>risk analysis; attack surface; automotive security; cybersecurity; risk assessment; included; included.i1; inclu</t>
  </si>
  <si>
    <t>7MVJQH77</t>
  </si>
  <si>
    <t>Soman, S.M.; Golzar, F.; Molinari, M.; Rolando, D.</t>
  </si>
  <si>
    <t>Digital twins for smart grid connected buildings: A systematic literature review</t>
  </si>
  <si>
    <t>Proc. ASME Int. Conf. Energy Sustain., ES</t>
  </si>
  <si>
    <t>9780791889039 (ISBN)</t>
  </si>
  <si>
    <t>10.1115/ES2025-155281</t>
  </si>
  <si>
    <t>https://www.scopus.com/inward/record.uri?eid=2-s2.0-105018580210&amp;doi=10.1115%2FES2025-155281&amp;partnerID=40&amp;md5=03938162bda3eb477717015e2572a5b8</t>
  </si>
  <si>
    <t>Building and construction sector is responsible for 40% of the total energy consumption and 36% of the total greenhouse gas emissions in the European Union. Digital twin is an emerging digital tool that facilitates building management through data interactions using sensor readings between a physical building and its digital model and improves operation and enhances transparency. However, since the digital twin technologies are not mature and has several challenges associated with it, such as need for extensive data, it is necessary to conduct a systematic literature review on its application to buildings and smart grids. The majority of the current studies look into how digital twins can be used for the management of normal residential or commercial buildings that are connected to conventional electricity grids with little scope for bidirectional power flow. This study conducts a systematic literature review to map the current landscape of research on digital twins in gridinteractive buildings, with a focus on identifying the software tools used in the creation of digital twins for improving energy efficiency. The study uses scientific databases like Scopus and Web of Sciences and has been carried out in accordance with PRISMA guidelines that specify the different steps involved in the methodology to conduct systematic reviews. Autodesk Revit and Artificial Neural Networks emerged as the most common software and technique, based on previous works. © 2025 Elsevier B.V., All rights reserved.</t>
  </si>
  <si>
    <t>American Society of Mechanical Engineers (ASME)</t>
  </si>
  <si>
    <t>Journal Abbreviation: Proc. ASME Int. Conf. Energy Sustain., ES</t>
  </si>
  <si>
    <t>Energy efficiency; Reviews; Sustainable development; Energy Efficiency; Systematic literature review; Buildings; Information management; Digital Twin; Digital twin; Smart grid; Construction industry; Intelligent buildings; Smart power grids; Energy; 'current; Digital devices; Office buildings; Construction sectors; Building and construction; Buildings sector; Computer aided software engineering; Computer software; Copyrights; Electric power transmission networks; Energy utilization; Energy-consumption; Grid-connected; Smart Grid; Systematic Literature review; Total energy; included</t>
  </si>
  <si>
    <t>4ZHLKLE3</t>
  </si>
  <si>
    <t>Somers, R.J.; Douthwaite, J.A.; Wagg, D.J.; Walkinshaw, N.; Hierons, R.M.</t>
  </si>
  <si>
    <t>Digital-twin-based testing for cyber–physical systems: A systematic literature review</t>
  </si>
  <si>
    <t>10.1016/j.infsof.2022.107145</t>
  </si>
  <si>
    <t>https://www.scopus.com/inward/record.uri?eid=2-s2.0-85145973213&amp;doi=10.1016%2Fj.infsof.2022.107145&amp;partnerID=40&amp;md5=afd871929f6fac05875cf810de436e3f</t>
  </si>
  <si>
    <t>Context: Cyber–physical systems present a challenge to testers, bringing complexity and scale to safety-critical and collaborative environments. Digital twins enhance these systems through data-driven and simulation based models coupled to physical systems to provide visualisation, predict future states and communication. Due to the coupling between digital and physical worlds, digital twins provide a new perspective into cyber–physical system testing. Objective: The objectives of this study are to summarise the existing literature on digital-twin-based testing. We aim to uncover emerging areas of adoptions, the testing techniques used in these areas and identify future research areas. Method: We conducted a systematic literature review which answered the following research questions: What cyber–physical systems are digital twins currently being used to test? How are test oracles defined for cyber–physical systems? What is the distribution of white-box, black-box and grey-box modelling techniques used for digital twins in the context of testing? How are test cases defined and how does this affect test inputs? Results: We uncovered 26 relevant studies from 480 produced by searching with a curated search query. These studies showed an adoption of digital-twin-based testing following the introduction of digital twins in industry as well as the increasing accessibility of the technology. The oracles used in testing are the digital twin themselves and therefore rely on both system specification and data derivation. Cyber–physical systems are tested through passive testing techniques, as opposed to either active testing through test cases or predictive testing using digital twin prediction. Conclusions: This review uncovers the existing areas in which digital twins are used to test cyber–physical systems as well as outlining future research areas in the field. We outline how the infancy of digital twins has affected their wide variety of definitions, emerging specialised testing and modelling techniques as well as the current lack of predictive ability. © 2023 Elsevier B.V., All rights reserved.</t>
  </si>
  <si>
    <t>Systematic literature review; Digital twin; Cyber-physical systems; Cyber–physical system; Testing; Cybe-physical systems; Modelling techniques; Ability testing; Black-box testing; Collaborative environments; Critical environment; Data simulation; Research areas; Safety engineering; Specifications; Test case; Testing technique; Well testing; included; included.i1</t>
  </si>
  <si>
    <t>C35LXNJ3</t>
  </si>
  <si>
    <t>Somma, A.; De Benedictis, A.; Esposito, C.; Mazzocca, N.</t>
  </si>
  <si>
    <t>The convergence of Digital Twins and Distributed Ledger Technologies: A systematic literature review and an architectural proposal</t>
  </si>
  <si>
    <t>Journal of Network and Computer Applications</t>
  </si>
  <si>
    <t>10958592 (ISSN); 10848045 (ISSN)</t>
  </si>
  <si>
    <t>10.1016/j.jnca.2024.103857</t>
  </si>
  <si>
    <t>https://www.scopus.com/inward/record.uri?eid=2-s2.0-85186518800&amp;doi=10.1016%2Fj.jnca.2024.103857&amp;partnerID=40&amp;md5=a81535e3de5635c4631f20bbba5c9edf</t>
  </si>
  <si>
    <t>In recent years, the emerging Digital Twin (DT) technology is playing a key role in fostering the transition towards the Industry 4.0. DTs, representing virtual replicas of physical objects, products or processes established thanks to a bidirectional continuous flow of information between the physical and the virtual world, are currently adopted in multiple domains such as manufacturing, aerospace, automotive, energy, construction, smart cities and smart mobility, etc. DTs live together with the physical system they replicate, receiving the same data and often triggering specific control actions that directly impact on the real system status. When dealing with DTs of complex Cyber-Physical Systems (CPSs), the data sources may be heterogeneous and untrustworthy, which requires the DT to be able to address security issues related to data in transit from/to the physical twin and data at rest. A possible way to address these data security issues consists in adopting Distributed Ledger Technologies (DLTs) which provide several security guarantees on data through cryptographic hashing techniques. In this work, we present a three-fold contribution: (i) we discuss the results of a Systematic Literature Review (SLR) on the state-of-the-art of the research related to the integration between DLT and Digital Twins, aimed at clarifying relevant aspects such as, among others, what is the favourite DLT choice in existing proposals or what is the type of DT-related information to store on-chain; (ii) leveraging the SLR results and other related research, we propose an architectural framework for the integration of DT and DLTs (more specifically, blockchains); (iii) we validate the proposed architecture by means of two proof-of-concept implementations leveraging different technological stacks and taking into account two different operational scenarios. Finally, we conduct a requirements coverage analysis and compare the PoCs through a coverage matrix. © 2024 Elsevier B.V., All rights reserved.</t>
  </si>
  <si>
    <t>J Network Comput Appl</t>
  </si>
  <si>
    <t>Publisher: Academic Press</t>
  </si>
  <si>
    <t>Blockchain; Network security; Systematic literature review; Digital Twins; Cybersecurity; Data security; Data trustworthiness; Distributed Ledger Technologies; Reference architecture; Virtual reality; Embedded systems; Cyber Physical System; Physical objects; Block-chain; Continuous-flow; Distributed ledg technology; Distributed ledger; Physical process; Physical products; Security issues; included; included.i1</t>
  </si>
  <si>
    <t>UL9X8LQG</t>
  </si>
  <si>
    <t>Syed Abdul Rahman, S.A.F.; Abdul Maulud, K.N.; Ujang, U.; Wan Mohd Jaafar, W.S.; Shaharuddin, S.; Ab Rahman, A.A.</t>
  </si>
  <si>
    <t>The Digital Landscape of Smart Cities and Digital Twins: A Systematic Literature Review of Digital Terrain and 3D City Models in Enhancing Decision-Making</t>
  </si>
  <si>
    <t>SAGE Open</t>
  </si>
  <si>
    <t>21582440 (ISSN)</t>
  </si>
  <si>
    <t>10.1177/21582440231220768</t>
  </si>
  <si>
    <t>https://www.scopus.com/inward/record.uri?eid=2-s2.0-85182144537&amp;doi=10.1177%2F21582440231220768&amp;partnerID=40&amp;md5=e4645ddb5cfa50150609ee85f59ddd6d</t>
  </si>
  <si>
    <t>The digitalization of urban mechanisms relies on the integration of digital terrain and 3D city models. However, a systematic examination of this topic within the context of integrated smart cities or digital twins has been lacking, hindering reproducibility and interpretation of results. To address this gap, this study conducts a systematic literature review to explore the role of digital terrain and 3D city models in supporting urban decision-making for integrated smart cities or digital twins. By following a review protocol, research questions were formulated, and systematic search strategies were implemented involving reputable databases such as Scopus, Web of Science, Science Direct, Emerald, Taylor Francis, Springer Link, and Sage Journals. The review process included identification, screening, eligibility assessment, quality appraisal, data extraction, and thematic analysis. The thematic analysis identified eight main themes and 22 sub-themes, shedding light on various aspects of digital terrain and 3D city models in urban decision-making, including (1) data integration and interoperability, (2) integrated visualization; (3) environmental simulation; (4) digital twins application; (5) smart cities application; (6) semantic enrichment; (7) applied planning; and (8) urban planning. This systematic review identifies gaps in the field and provides directions for future studies. © 2024 Elsevier B.V., All rights reserved.</t>
  </si>
  <si>
    <t>Publisher: SAGE Publications Inc.</t>
  </si>
  <si>
    <t>digital twin; smart cities; 3D city model; SLR; digital terrain; included</t>
  </si>
  <si>
    <t>BQ3SSWTL</t>
  </si>
  <si>
    <t>van Dinter, R.; Tekinerdogan, B.; Catal, C.</t>
  </si>
  <si>
    <t>https://www.scopus.com/inward/record.uri?eid=2-s2.0-85134599958&amp;doi=10.1016%2Fj.infsof.2022.107008&amp;partnerID=40&amp;md5=0a8b3469e8918d3f024bd120171e805d</t>
  </si>
  <si>
    <t>Context: Predictive maintenance is a technique for creating a more sustainable, safe, and profitable industry. One of the key challenges for creating predictive maintenance systems is the lack of failure data, as the machine is frequently repaired before failure. Digital Twins provide a real-time representation of the physical machine and generate data, such as asset degradation, which the predictive maintenance algorithm can use. Since 2018, scientific literature on the utilization of Digital Twins for predictive maintenance has accelerated, indicating the need for a thorough review. Objective: This research aims to gather and synthesize the studies that focus on predictive maintenance using Digital Twins to pave the way for further research. Method: A systematic literature review (SLR) using an active learning tool is conducted on published primary studies on predictive maintenance using Digital Twins, in which 42 primary studies have been analyzed. Results: This SLR identifies several aspects of predictive maintenance using Digital Twins, including the objectives, application domains, Digital Twin platforms, Digital Twin representation types, approaches, abstraction levels, design patterns, communication protocols, twinning parameters, and challenges and solution directions. These results contribute to a Software Engineering approach for developing predictive maintenance using Digital Twins in academics and the industry. Conclusion: This study is the first SLR in predictive maintenance using Digital Twins. We answer key questions for designing a successful predictive maintenance model leveraging Digital Twins. We found that to this day, computational burden, data variety, and complexity of models, assets, or components are the key challenges in designing these models. © 2022 Elsevier B.V., All rights reserved.</t>
  </si>
  <si>
    <t>Artificial intelligence; Maintenance; Software engineering; Systematic literature review; Digital twin; Active learning; Predictive maintenance; E-learning; Applications domains; Real- time; Scientific literature; Active Learning; Failure data; Learning tool; Maintenance algorithms; Maintenance systems; included</t>
  </si>
  <si>
    <t>WT7KT2T6</t>
  </si>
  <si>
    <t>Venkateswarlu, N.; Sathiyamoorthy, M.</t>
  </si>
  <si>
    <t>Sustainable innovations in digital twin technology: a systematic review about energy efficiency and indoor environment quality in built environment</t>
  </si>
  <si>
    <t>Frontiers in Built Environment</t>
  </si>
  <si>
    <t>22973362 (ISSN)</t>
  </si>
  <si>
    <t>10.3389/fbuil.2025.1523464</t>
  </si>
  <si>
    <t>https://www.scopus.com/inward/record.uri?eid=2-s2.0-105001738535&amp;doi=10.3389%2Ffbuil.2025.1523464&amp;partnerID=40&amp;md5=4fc7b9fc96641280599c24842151762e</t>
  </si>
  <si>
    <t>In the contemporary digital age, the built environment undergoes significant changes because of technological innovations that improve building management, optimize building efficiency, and enhance overall productivity. Digital Twin technology has emerged as an indispensable tool for enhancing indoor environmental quality and optimizing energy efficiency in existing buildings. This demonstrates its similarity to several SDGs, where digital twin technology is key to achieving many of them, especially those relevant to our research: 7. Affordable and clean energy; 3. Good health and wellbeing are the primary outcomes of our study; 9. Industry innovation and infrastructure are the focus of our methodology; and 11. Sustainable cities and communication, to which our research contributes. However, some challenges require further consideration. First, to assess the methods and tools used to monitor and represent environmental parameters. Second, to review previous studies on Digital Twin technology in the context of energy efficiency and indoor environmental quality. This study systematically examined 261 academic articles to address these challenges, identifying 17 relevant publications investigating Digital Twin for enhancing energy efficiency and indoor environmental quality in buildings. The research emphasizes Building Information Modeling, Internet of Things, and Big Data, which collectively improve the monitoring and management of physical assets through real-time data replication. Our research illustrates the need for a multidisciplinary framework to rigorously analyze Digital Twin applications, as a comprehensive understanding of the consequences of this technology requires the integration of different fields. The review emphasizes the confined application of sensors for monitoring the environment, the importance of residents subjective impressions, and the need for further comparative studies on energy use estimation methods. For future investigation, enhanced international collaboration is imperative to improve the scholarly exploration of Digital Twin related to this field. Finally, the built environment can benefit significantly from implementing Digital Twin technology. However, the challenges must be addressed before technology can achieve its full potential for creating sustainable and energy-efficient buildings. © 2025 Elsevier B.V., All rights reserved.</t>
  </si>
  <si>
    <t>Front. Built Environ.</t>
  </si>
  <si>
    <t>Publisher: Frontiers Media SA</t>
  </si>
  <si>
    <t>digital twin; energy efficiency; bim; buildings; indoor environmental quality; scientometric review; included</t>
  </si>
  <si>
    <t>B2E9STXD</t>
  </si>
  <si>
    <t>Verdecchia, R.; Scommegna, L.; Picano, B.; Becattini, M.; Vicario, E.</t>
  </si>
  <si>
    <t>Network Digital Twins: A Systematic Review</t>
  </si>
  <si>
    <t>10.1109/ACCESS.2024.3453034</t>
  </si>
  <si>
    <t>https://www.scopus.com/inward/record.uri?eid=2-s2.0-85203658258&amp;doi=10.1109%2FACCESS.2024.3453034&amp;partnerID=40&amp;md5=a3881aec590ef99ef5d89df4523cf655</t>
  </si>
  <si>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 © 2024 Elsevier B.V., All rights reserved.</t>
  </si>
  <si>
    <t>145400-145416</t>
  </si>
  <si>
    <t>Fog computing; Resource allocation; Systematic literature review; Digital twins; systematic literature review; Systematic Review; Management IS; 'current; computer networks; Industrial settings; Integration issues; Legacy networks; Network synchronization; Networks management; Physical network; included; included.i1</t>
  </si>
  <si>
    <t>DL25H6FN</t>
  </si>
  <si>
    <t>Vuoto, A.; Funari, M.F.; Lourenço, P.B.</t>
  </si>
  <si>
    <t>Shaping Digital Twin Concept for Built Cultural Heritage Conservation: A Systematic Literature Review</t>
  </si>
  <si>
    <t>International Journal of Architectural Heritage</t>
  </si>
  <si>
    <t>15583058 (ISSN); 15583066 (ISSN)</t>
  </si>
  <si>
    <t>10.1080/15583058.2023.2258084</t>
  </si>
  <si>
    <t>https://www.scopus.com/inward/record.uri?eid=2-s2.0-85171773723&amp;doi=10.1080%2F15583058.2023.2258084&amp;partnerID=40&amp;md5=88366de9e7dd8c50d0ba243629e81fbf</t>
  </si>
  <si>
    <t>The Digital Twin (DT) technology has shown promise in transforming complex engineered systems. However, its adoption in the Architecture, Engineering, Construction, and Operation (AECO) field, particularly for Built Cultural Heritage (BCH) conservation, is still in its early stages. This study presents a systematic literature review of 85 academic publications to evaluate the current state of DT implementation in heritage building conservation and identifies areas for optimising preventive management. In addition, this review explores interpretations of the DT concept in this field, addressing overlaps with Historical/Heritage Building Information Modelling (HBIM), discusses DT functionalities and presents existing frameworks. The findings demonstrate the potential of DT to revolutionise BCH conservation through a holistic approach. However, further focus is needed on features and tools for enhancing performance-based management with targeted strategies and advanced data analysis. Future research should prioritise developing these aspects to fully leverage the potential of the DT paradigm in BCH conservation. © 2024 Elsevier B.V., All rights reserved.</t>
  </si>
  <si>
    <t>1762-1795</t>
  </si>
  <si>
    <t>Int. J. Archit. Herit.</t>
  </si>
  <si>
    <t>literature review; Systematic literature review; Information management; Digital Twin; Decision making; Decisions makings; decision making; Architecture engineering; Engineering operation; Heritage buildings; Build cultural heritage; building; Built cultural heritage; Complex engineered systems; conservation management; cultural heritage; Cultural heritage conservation; Cultural heritages; data management; decision-making; Historic preservation; preventive conservation; Preventive conservation; spatiotemporal analysis; included</t>
  </si>
  <si>
    <t>6FABWT4T</t>
  </si>
  <si>
    <t>Weerasinghe, L.N.K.; Darko, A.; Chan, A.P.C.; Xiao, B.</t>
  </si>
  <si>
    <t>Digital twin for sustainable decision-making in building net zero carbon retrofitting: a systematic review</t>
  </si>
  <si>
    <t>Built Environment Project and Asset Management</t>
  </si>
  <si>
    <t>20441258 (ISSN); 2044124X (ISSN)</t>
  </si>
  <si>
    <t>10.1108/BEPAM-03-2025-0090</t>
  </si>
  <si>
    <t>https://www.scopus.com/inward/record.uri?eid=2-s2.0-105017136612&amp;doi=10.1108%2FBEPAM-03-2025-0090&amp;partnerID=40&amp;md5=de99655b5d1476f74c18009e75d82ce2</t>
  </si>
  <si>
    <t>Purpose – Digital twin (DT) is an innovative concept within the construction sector that utilizes real-world performance data to create a virtual model, enabling optimized decision-making. Building net zero carbon (NZC) retrofitting offers an opportunity to reduce global carbon emissions. However, decision-makers face challenges in making smart and sustainable decisions in NZC retrofitting. DT can improve the smartness and sustainability of the decision-making practice in NZC retrofitting, providing promising solutions. Hence, this study assesses the potential of DT for smart and sustainable decision-making in NZC retrofitting. Design/methodology/approach – This study used a three-stage methodology, which included initial work, systematic review and analysis and discussion. Accordingly, the study investigated 29 relevant academic publications on DT and building retrofitting to NZC, using content analysis as the major analytical approach. Findings – The findings demonstrated the effective application of DT in assessing carbon emissions, energy usage, comfort levels and financial savings within the context of building NZC retrofitting. However, it highlighted a lack of integrated focus on the environmental, social and economic pillars of sustainability in NZC retrofitting. Furthermore, the review identified the technologies utilized in implementing DT for building NZC retrofitting as data-related, modeling-related and model simulation-related technologies. Centered on the identified gaps, the study provides recommendations for building NZC retrofitting. Originality/value – The identified gaps and proposed directions would guide future researchers interested in implementing DT to make sustainable decisions in building NZC retrofitting. © 2025 Elsevier B.V., All rights reserved.</t>
  </si>
  <si>
    <t>Built Environ. Proj. Asset Manage.</t>
  </si>
  <si>
    <t>Publisher: Emerald Publishing</t>
  </si>
  <si>
    <t>Digital twin; Review; Building; Net zero carbon; Retrofitting; Smart and sustainable decision-making; included</t>
  </si>
  <si>
    <t>TLN8A6QW</t>
  </si>
  <si>
    <t>Weil, C.; Bibri, S.E.; Longchamp, R.; Golay, F.; Alahi, A.</t>
  </si>
  <si>
    <t>Sustainable Cities and Society</t>
  </si>
  <si>
    <t>22106707 (ISSN)</t>
  </si>
  <si>
    <t>https://www.scopus.com/inward/record.uri?eid=2-s2.0-85163715089&amp;doi=10.1016%2Fj.scs.2023.104862&amp;partnerID=40&amp;md5=3a973d54c56975bddbf3bf773c3473a8</t>
  </si>
  <si>
    <t>Recent scientific and technological advancements have transformed the knowledge frontiers, giving rise to the next wave of disruptive technologies with deep impacts on urban society. An Urban Digital Twin (UDT) is a technology with great potential to transform the management and planning of the infrastructures and systems of sustainable smart cities towards environmental sustainability. However, despite the recent increase of research on UDTs due to its widespread diffusion much more recently, there is a lack of studies examining the existing bottlenecks to its implementation. To fill this gap, this study provides a systematic literature review on the key challenges and open issues pertaining to the implementation of an UDT. Results indicate 8 important categories of challenges related to (1) interoperability and semantics; (2) infrastructure, including storage, computation, network; (3) data acquisition and actuation; (4) data quality and harmonization; (5) modeling, simulation and decision-support; (6) data visualization and information display; (7) human and capital resources; and finally (8) governance, organizational and social issues. All topics are significantly raised in the literature, with most emphasis on issues pertaining to data and model semantics, missing data, data quality and modeling. The findings serve to inform practitioners about the bottlenecks delaying the implementation of UDTs. © 2023 Elsevier B.V., All rights reserved.</t>
  </si>
  <si>
    <t>Sustainable Cities Soc.</t>
  </si>
  <si>
    <t>sustainability; Environmental sustainability; Sustainable development; Systematic literature review; Digital twins; Data quality; City management; City planning; Sustainable smart cities; Urban digital twins; Urban planning; Urban digital twin; Smart city; Systematic Review; technological development; urban planning; Decision support systems; urban development; Data visualization; Digital storage; smart city; Sustainable smart city; Technological advancement; Semantics; Data acquisition; Deep impact; Disruptive technology; Environmental technology; implementation process; infrastructural development; included</t>
  </si>
  <si>
    <t>XZLN82C2</t>
  </si>
  <si>
    <t>Wooley, A.; Silva, D.F.; Bitencourt, J.</t>
  </si>
  <si>
    <t>When is a simulation a digital twin? A systematic literature review</t>
  </si>
  <si>
    <t>Manufacturing Letters</t>
  </si>
  <si>
    <t>22138463 (ISSN)</t>
  </si>
  <si>
    <t>10.1016/j.mfglet.2023.08.014</t>
  </si>
  <si>
    <t>https://www.scopus.com/inward/record.uri?eid=2-s2.0-85173285566&amp;doi=10.1016%2Fj.mfglet.2023.08.014&amp;partnerID=40&amp;md5=2439a457b6b7305947c2c1057c6b7e03</t>
  </si>
  <si>
    <t>This paper presents a systematic literature review to analyze the connection between the capabilities of Digital Twin (DT) and simulation; it also reviews industrial applications of DT and its different definitions. After a systematic search of several databases and a careful selection based on established criteria, 120 journal academic publications regarding practical implementations of DT were selected and classified according to the capabilities of DT and/or simulation that they implemented. Based on the results of the SLR classification and analysis, the challenges in this area that are preventing the widespread adoption of a fully capable DT are presented. This work also identifies the current limitations and reasons behind some misconception of DT. There is still a disconnection between the DT concepts and applications, as people continue to construct DTs that are basically simulation models. Furthermore, those that build a DT only make use of a portion of its capabilities. © 2023 Elsevier B.V., All rights reserved.</t>
  </si>
  <si>
    <t>940-951</t>
  </si>
  <si>
    <t>Manuf. Let.</t>
  </si>
  <si>
    <t>Simulation; Systematic literature review; Digital Twin; Capability; Simulation model; Academic publications; Systematic searches; Circuit simulation; Classifieds; Current limitation; Selection based; included</t>
  </si>
  <si>
    <t>7HUG938J</t>
  </si>
  <si>
    <t>Yan, B.; Yang, F.; Qiu, S.; Wang, J.; Cai, B.; Wang, S.; Zaheer, Q.; Wang, W.; Chen, Y.; Hu, W.</t>
  </si>
  <si>
    <t>Digital twin in transportation infrastructure management: a systematic review</t>
  </si>
  <si>
    <t>Intelligent Transportation Infrastructure</t>
  </si>
  <si>
    <t>27529991 (ISSN)</t>
  </si>
  <si>
    <t>10.1093/iti/liad024</t>
  </si>
  <si>
    <t>https://www.scopus.com/inward/record.uri?eid=2-s2.0-85189082336&amp;doi=10.1093%2Fiti%2Fliad024&amp;partnerID=40&amp;md5=b23a1c26f1dc1cbd23051abebee84e3c</t>
  </si>
  <si>
    <t>The concept of digital twin (DT) has emerged as a trend in various industries development, enabling the creation of virtual models of physical objects. We conduct a systematic review of the DT technology in the field of transportation infrastructure management from the aspects of concept definition, whole life cycle application, advanced technology, and equipment utilization, as well as the challenges. We begin with an introduction that defines DT and its components, while also distinguishing it from building information modeling and cyber-physical systems. We explore the diverse applications of DT throughout its lifecycle and highlight the significance of DT in structural monitoring, infrastructure operation and maintenance, and dataset expansion. We further investigate the advanced techniques and equipment associated with DT components, focusing on the importance of virtual parts, data acquisition, transmission, multi-source data fusion processing, and data security as well as dynamic updating of models for effective integration and utilization of DT in transportation infrastructure management. We identify key challenges faced by DT in transportation infrastructure management and propose future trends in the study. This comprehensive review serves as a valuable resource for researchers, practitioners, and decision-makers in understanding the potential of DT technology in transportation infrastructure management. © 2024 Elsevier B.V., All rights reserved.</t>
  </si>
  <si>
    <t>Intell. Transp. Infrastruct.</t>
  </si>
  <si>
    <t>Publisher: Oxford University Press</t>
  </si>
  <si>
    <t>digital twin; defect detection; lifecycle management; operations and maintenance; transportation infrastructure management; included</t>
  </si>
  <si>
    <t>NSZKMPPS</t>
  </si>
  <si>
    <t>Yan, J.; Lu, Q.; Moretti, N.; Li, N.</t>
  </si>
  <si>
    <t>A systematic review of generating the common data environment for city-level digital twins</t>
  </si>
  <si>
    <t>Proc. Int. Workshop Intell. Comput. Eng., EG-ICE</t>
  </si>
  <si>
    <t>https://www.scopus.com/inward/record.uri?eid=2-s2.0-85207235923&amp;partnerID=40&amp;md5=81d7e06303489f52ab17b75ea2d1799d</t>
  </si>
  <si>
    <t>The concept of Digital Twin (DT) has been greatly welcomed in Architectural, Engineering, Construction and Facility Management (AEC/FM) sector. From the concept to practice, the most dominant challenge could be the data management. Especially, the potentials of DTs in diverse application scenarios have been proposed from building to infrastructure, and to the city level under the requirements of multiple stakeholders. In this context, the data issues are aggravated facing the increasing heterogeneous data from the physical environment. However, there is limited research works examining and summarizing the data management issues when constructing DTs comprehensively in the AEC/FM sector. Therefore, this study aims to address this knowledge gap. First, a data environment with the enablers of data sources, data ecosystem, and data consumers connecting the physical and virtual spaces is defined. Specifically, the data ecosystem enabler is defined with five functional components (i.e., data collection and ingestion, data process and integration, data analysis and representation, data storage, and data pipelines). Then, 149 academic research works were selected as the data set for the systematic literature review. The review and analysis are conducted based on the structure of the enablers in a data environment. This research intends to bring thorough and practical insights of DTs from building to city level assets for researchers, practitioners, and policy makers. © 2024 Elsevier B.V., All rights reserved.</t>
  </si>
  <si>
    <t>115-124</t>
  </si>
  <si>
    <t>European Group for Intelligent Computing in Engineering (EG-ICE)</t>
  </si>
  <si>
    <t>Journal Abbreviation: Proc. Int. Workshop Intell. Comput. Eng., EG-ICE</t>
  </si>
  <si>
    <t>Information management; Data integration; Facilities management; Systematic Review; Application scenario; Architectural engineering constructions; Construction management; Data assimilation; Data environment; Diverse applications; Engineering management; Heterogeneous data; Multiple stakeholders; Plant management; included</t>
  </si>
  <si>
    <t>SGXJJRTV</t>
  </si>
  <si>
    <t>Yao, J.-F.; Yang, Y.; Wang, X.-C.; Zhang, X.-P.</t>
  </si>
  <si>
    <t>Systematic review of digital twin technology and applications</t>
  </si>
  <si>
    <t>Visual Computing for Industry, Biomedicine, and Art</t>
  </si>
  <si>
    <t>2096496X (ISSN); 25244442 (ISSN)</t>
  </si>
  <si>
    <t>10.1186/s42492-023-00137-4</t>
  </si>
  <si>
    <t>https://www.scopus.com/inward/record.uri?eid=2-s2.0-85160690565&amp;doi=10.1186%2Fs42492-023-00137-4&amp;partnerID=40&amp;md5=5d2739346364fd7fe2183c47dc114cf6</t>
  </si>
  <si>
    <t>As one of the most important applications of digitalization, intelligence, and service, the digital twin (DT) breaks through the constraints of time, space, cost, and security on physical entities, expands and optimizes the relevant functions of physical entities, and enhances their application value. This phenomenon has been widely studied in academia and industry. In this study, the concept and definition of DT, as utilized by scholars and researchers in various fields of industry, are summarized. The internal association between DT and related technologies is explained. The four stages of DT development history are identified. The fundamentals of the technology, evaluation indexes, and model frameworks are reviewed. Subsequently, a conceptual ternary model of DT based on time, space, and logic is proposed. The technology and application status of typical DT systems are described. Finally, the current technical challenges of DT technology are analyzed, and directions for future development are discussed. © 2023 Elsevier B.V., All rights reserved.</t>
  </si>
  <si>
    <t>Vis. Comput. Ind. Biomed. Art</t>
  </si>
  <si>
    <t>Publisher: Springer</t>
  </si>
  <si>
    <t>Simulation; Information technology; Digital twin; Digitalization; Systematic Review; Virtual models; Time-space; Technologies and applications; Development history; Evaluation index; Evaluation models; Technology evaluation; Virtual modeling; included</t>
  </si>
  <si>
    <t>AKWCSI3A</t>
  </si>
  <si>
    <t>Yuan, J.; Ma, J.; Tian, Z.; Man, K.L.</t>
  </si>
  <si>
    <t>Digital Twin Integration With Data Fusion for Enhanced Photovoltaic System Management: A Systematic Literature Review</t>
  </si>
  <si>
    <t>IEEE Open Journal of Power Electronics</t>
  </si>
  <si>
    <t>26441314 (ISSN)</t>
  </si>
  <si>
    <t>10.1109/OJPEL.2024.3422021</t>
  </si>
  <si>
    <t>https://www.scopus.com/inward/record.uri?eid=2-s2.0-85197498186&amp;doi=10.1109%2FOJPEL.2024.3422021&amp;partnerID=40&amp;md5=54570fa7fa287621337f8435e0104c71</t>
  </si>
  <si>
    <t>The integration of Digital Twin (DT) technology into the photovoltaic (PV) sector represents a significant advancement in energy management, optimization, servicing, and maintenance. This comprehensive literature review aims to enhance understanding, categorization, and adoption of DT and data fusion technologies within the PV industry to guide future research endeavors. The review categorizes PV models into three types: digital models, digital shadows, and digital twins, based on their data connection and integration attributes. It recognizes data fusion as the critical enabling technology for the development of complex DT models and proposes a framework for integrating data fusion with DT systems. A detailed examination of prevalent PV modeling methodologies is conducted to delineate their advantages and limitations, serving as a valuable resource for industry practitioners. The paper concludes that digital models and digital shadows are effective for initial PV system forecast and monitoring, while fully integrated DT models offer significant advantages, including real-time analysis, predictive capabilities, and active system optimization. However, implementing and maintaining DT models require advanced data analytics, high computational costs, and robust system security, presenting important challenges to be addressed in future research endeavors. © 2024 Elsevier B.V., All rights reserved.</t>
  </si>
  <si>
    <t>1045-1058</t>
  </si>
  <si>
    <t>IEEE Open J. Power Electron.</t>
  </si>
  <si>
    <t>Biological system modeling; Systematic literature review; Information management; Data integration; Solar energy; Photovoltaic systems; Digital modeling; Digital shadow; Optimisations; Data fusion; Biological systems; Control systems; Energy model; modeling; Photovoltaic model; photovoltaic power systems; Photovoltaics; solar energy; Solar power generation; Systems management; included</t>
  </si>
  <si>
    <t>68Y73VN3</t>
  </si>
  <si>
    <t>Correction to: Discrete event simulation and Digital Twins in warehouse logistics: a bibliometric and content analysis-based systematic literature review (International Journal of Computer Integrated Manufacturing, (2024), (1-28), 10.1080/0951192X.2024.2314772)</t>
  </si>
  <si>
    <t>International Journal of Computer Integrated Manufacturing</t>
  </si>
  <si>
    <t>0951192X (ISSN); 13623052 (ISSN)</t>
  </si>
  <si>
    <t>10.1080/0951192X.2024.2388927</t>
  </si>
  <si>
    <t>https://www.scopus.com/inward/record.uri?eid=2-s2.0-85200484581&amp;doi=10.1080%2F0951192X.2024.2388927&amp;partnerID=40&amp;md5=8964775f0e123504cbe40ad4b4282b0e</t>
  </si>
  <si>
    <t>Article title: Discrete event simulation and Digital Twins in warehouse logistics: a bibliometric and content analysis-based systematic literature review Authors: Aretoulaki, Eleni., Ponis, Stavros., Plakas, George &amp; Tzanetou, Dimitra. Journal: TCIM: International Journal of Computer Integrated ManufacturingDOI: http://dx.doi.org/10.1080/0951192X.2024.2314772 When the article was originally published, the title of the article as follows: (DT4Smart) discrete event simulation and Digital Twins in warehouse logistics: a bibliometric and content analysis-based systematic literature review The current revised article title is: Discrete event simulation and Digital Twins in warehouse logistics: a bibliometric and content analysis-based systematic literature review. © 2025 Elsevier B.V., All rights reserved.</t>
  </si>
  <si>
    <t>ii</t>
  </si>
  <si>
    <t>Int J Computer Integr Manuf</t>
  </si>
  <si>
    <t>Correction to: Discrete event simulation and Digital Twins in warehouse logistics: a bibliometric and content analysis-based systematic literature review (International Journal of Computer Integrated Manufacturing, (2024), 37, 10-11, (1376-1403), 10.1080/0951192X.2024.2314772)</t>
  </si>
  <si>
    <t>included</t>
  </si>
  <si>
    <t>Link</t>
  </si>
  <si>
    <t>DB</t>
  </si>
  <si>
    <t>DT.DBQ2.01</t>
  </si>
  <si>
    <t>DT.DBQ2.02</t>
  </si>
  <si>
    <t>DT.DBQ2.03</t>
  </si>
  <si>
    <t>DT.DBQ2.04</t>
  </si>
  <si>
    <t>DT.DBQ2.05</t>
  </si>
  <si>
    <t>DT.DBQ2.06</t>
  </si>
  <si>
    <t>DT.DBQ2.07</t>
  </si>
  <si>
    <t>DT.DBQ2.08</t>
  </si>
  <si>
    <t>DT.DBQ2.09</t>
  </si>
  <si>
    <t>DT.DBQ2.10</t>
  </si>
  <si>
    <t>DT.DBQ2.11</t>
  </si>
  <si>
    <t>DT.DBQ2.12</t>
  </si>
  <si>
    <t>DT.DBQ2.13</t>
  </si>
  <si>
    <t>DT.DBQ2.14</t>
  </si>
  <si>
    <t>DT.DBQ2.15</t>
  </si>
  <si>
    <t>DT.DBQ2.16</t>
  </si>
  <si>
    <t>DT.DBQ2.17</t>
  </si>
  <si>
    <t>DT.DBQ2.18</t>
  </si>
  <si>
    <t>DT.DBQ2.19</t>
  </si>
  <si>
    <t>DT.DBQ2.20</t>
  </si>
  <si>
    <t>DT.DBQ2.21</t>
  </si>
  <si>
    <t>DT.DBQ2.22</t>
  </si>
  <si>
    <t>DT.DBQ2.23</t>
  </si>
  <si>
    <t>DT.DBQ2.24</t>
  </si>
  <si>
    <t>DT.DBQ2.25</t>
  </si>
  <si>
    <t>DT.DBQ2.26</t>
  </si>
  <si>
    <t>DT.DBQ2.27</t>
  </si>
  <si>
    <t>DT.DBQ2.28</t>
  </si>
  <si>
    <t>DT.DBQ2.29</t>
  </si>
  <si>
    <t>DT.DBQ2.30</t>
  </si>
  <si>
    <t>DT.DBQ2.31</t>
  </si>
  <si>
    <t>DT.DBQ2.32</t>
  </si>
  <si>
    <t>DT.DBQ2.33</t>
  </si>
  <si>
    <t>DT.DBQ2.34</t>
  </si>
  <si>
    <t>DT.DBQ2.35</t>
  </si>
  <si>
    <t>DT.DBQ2.36</t>
  </si>
  <si>
    <t>DT.DBQ2.37</t>
  </si>
  <si>
    <t>DT.DBQ2.38</t>
  </si>
  <si>
    <t>DT.DBQ2.39</t>
  </si>
  <si>
    <t>DT.DBQ2.40</t>
  </si>
  <si>
    <t>DT.DBQ2.41</t>
  </si>
  <si>
    <t>DT.DBQ2.42</t>
  </si>
  <si>
    <t>DT.DBQ2.43</t>
  </si>
  <si>
    <t>DT.DBQ2.44</t>
  </si>
  <si>
    <t>DT.DBQ2.45</t>
  </si>
  <si>
    <t>DT.DBQ2.46</t>
  </si>
  <si>
    <t>DT.DBQ2.47</t>
  </si>
  <si>
    <t>DT.DBQ2.48</t>
  </si>
  <si>
    <t>DT.DBQ2.49</t>
  </si>
  <si>
    <t>DT.DBQ2.50</t>
  </si>
  <si>
    <t>DT.DBQ2.51</t>
  </si>
  <si>
    <t>DT.DBQ2.52</t>
  </si>
  <si>
    <t>DT.DBQ2.53</t>
  </si>
  <si>
    <t>DT.DBQ2.54</t>
  </si>
  <si>
    <t>DT.DBQ2.55</t>
  </si>
  <si>
    <t>LOG</t>
  </si>
  <si>
    <t>Frequência</t>
  </si>
  <si>
    <t>Rank</t>
  </si>
  <si>
    <t>Log(F)</t>
  </si>
  <si>
    <t>Log(R)</t>
  </si>
  <si>
    <t>C</t>
  </si>
  <si>
    <t>Cumulative</t>
  </si>
  <si>
    <t>IEEE Xplore</t>
  </si>
  <si>
    <t>Science Direct</t>
  </si>
  <si>
    <t>ACM</t>
  </si>
  <si>
    <t>ST</t>
  </si>
  <si>
    <t>Springer Link</t>
  </si>
  <si>
    <t>Elsevier</t>
  </si>
  <si>
    <t>Taylor &amp; Francis</t>
  </si>
  <si>
    <t>Willey</t>
  </si>
  <si>
    <t>MDPI</t>
  </si>
  <si>
    <t>ArXiv</t>
  </si>
  <si>
    <t>Emerald Insight</t>
  </si>
  <si>
    <t>Onepetro</t>
  </si>
  <si>
    <t>Scielo</t>
  </si>
  <si>
    <t>Inspec</t>
  </si>
  <si>
    <t>Proquest</t>
  </si>
  <si>
    <t>TEMA</t>
  </si>
  <si>
    <t>CAPES periódicos</t>
  </si>
  <si>
    <t>P</t>
  </si>
  <si>
    <t>MEDLINE</t>
  </si>
  <si>
    <t>PubMed</t>
  </si>
  <si>
    <t>Semantic Search</t>
  </si>
  <si>
    <t>Zeta Alpha</t>
  </si>
  <si>
    <t>CORDIS</t>
  </si>
  <si>
    <t>Engineering Village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</si>
</sst>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0.000"/>
  </numFmts>
  <fonts count="9">
    <font>
      <sz val="10.0"/>
      <color rgb="FF000000"/>
      <name val="Arial"/>
      <scheme val="minor"/>
    </font>
    <font>
      <color theme="1"/>
      <name val="Arial"/>
    </font>
    <font>
      <u/>
      <color rgb="FF0000FF"/>
    </font>
    <font>
      <color theme="1"/>
      <name val="Arial"/>
      <scheme val="minor"/>
    </font>
    <font>
      <u/>
      <color rgb="FF0000FF"/>
    </font>
    <font>
      <u/>
      <color rgb="FF0000FF"/>
    </font>
    <font>
      <u/>
      <color rgb="FF0000FF"/>
    </font>
    <font>
      <u/>
      <color rgb="FF0000FF"/>
    </font>
    <font>
      <u/>
      <color rgb="FF0000FF"/>
    </font>
  </fonts>
  <fills count="6">
    <fill>
      <patternFill patternType="none"/>
    </fill>
    <fill>
      <patternFill patternType="lightGray"/>
    </fill>
    <fill>
      <patternFill patternType="solid">
        <fgColor rgb="FFD1FFD1"/>
        <bgColor rgb="FFD1FFD1"/>
      </patternFill>
    </fill>
    <fill>
      <patternFill patternType="solid">
        <fgColor rgb="FFFFA1A1"/>
        <bgColor rgb="FFFFA1A1"/>
      </patternFill>
    </fill>
    <fill>
      <patternFill patternType="solid">
        <fgColor rgb="FFFFAF66"/>
        <bgColor rgb="FFFFAF66"/>
      </patternFill>
    </fill>
    <fill>
      <patternFill patternType="solid">
        <fgColor theme="0"/>
        <bgColor theme="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xf>
    <xf borderId="0" fillId="0" fontId="4" numFmtId="0" xfId="0" applyFont="1"/>
    <xf borderId="0" fillId="0" fontId="3" numFmtId="0" xfId="0" applyFont="1"/>
    <xf borderId="0" fillId="0" fontId="3" numFmtId="10" xfId="0" applyAlignment="1" applyFont="1" applyNumberFormat="1">
      <alignment readingOrder="0"/>
    </xf>
    <xf borderId="0" fillId="0" fontId="3" numFmtId="10" xfId="0" applyFont="1" applyNumberFormat="1"/>
    <xf borderId="0" fillId="0" fontId="5" numFmtId="0" xfId="0" applyAlignment="1" applyFont="1">
      <alignment readingOrder="0"/>
    </xf>
    <xf borderId="0" fillId="0" fontId="3" numFmtId="164" xfId="0" applyAlignment="1" applyFont="1" applyNumberFormat="1">
      <alignment readingOrder="0"/>
    </xf>
    <xf borderId="0" fillId="2" fontId="3" numFmtId="0" xfId="0" applyAlignment="1" applyFill="1" applyFont="1">
      <alignment readingOrder="0"/>
    </xf>
    <xf borderId="0" fillId="2" fontId="3" numFmtId="0" xfId="0" applyFont="1"/>
    <xf borderId="0" fillId="2" fontId="6" numFmtId="0" xfId="0" applyFont="1"/>
    <xf borderId="0" fillId="3" fontId="3" numFmtId="0" xfId="0" applyAlignment="1" applyFill="1" applyFont="1">
      <alignment readingOrder="0"/>
    </xf>
    <xf borderId="0" fillId="3" fontId="3" numFmtId="0" xfId="0" applyFont="1"/>
    <xf borderId="0" fillId="3" fontId="7" numFmtId="0" xfId="0" applyFont="1"/>
    <xf borderId="0" fillId="4" fontId="3" numFmtId="0" xfId="0" applyAlignment="1" applyFill="1" applyFont="1">
      <alignment readingOrder="0"/>
    </xf>
    <xf borderId="0" fillId="4" fontId="3" numFmtId="0" xfId="0" applyFont="1"/>
    <xf borderId="0" fillId="4" fontId="8" numFmtId="0" xfId="0" applyFont="1"/>
    <xf borderId="0" fillId="0" fontId="3" numFmtId="165" xfId="0" applyAlignment="1" applyFont="1" applyNumberFormat="1">
      <alignment readingOrder="0"/>
    </xf>
    <xf borderId="0" fillId="0" fontId="3" numFmtId="0" xfId="0" applyFont="1"/>
    <xf borderId="0" fillId="5" fontId="3" numFmtId="0" xfId="0" applyFill="1" applyFont="1"/>
    <xf borderId="0" fillId="5"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Data bases used by systematic reviews</a:t>
            </a:r>
          </a:p>
        </c:rich>
      </c:tx>
      <c:overlay val="0"/>
    </c:title>
    <c:plotArea>
      <c:layout/>
      <c:barChart>
        <c:barDir val="col"/>
        <c:grouping val="stacked"/>
        <c:ser>
          <c:idx val="0"/>
          <c:order val="0"/>
          <c:tx>
            <c:strRef>
              <c:f>'1_20251104.wos_results'!$C$1</c:f>
            </c:strRef>
          </c:tx>
          <c:spPr>
            <a:solidFill>
              <a:schemeClr val="accent1"/>
            </a:solidFill>
            <a:ln cmpd="sng">
              <a:solidFill>
                <a:srgbClr val="000000"/>
              </a:solidFill>
            </a:ln>
          </c:spPr>
          <c:cat>
            <c:strRef>
              <c:f>'1_20251104.wos_results'!$A$2:$A$17</c:f>
            </c:strRef>
          </c:cat>
          <c:val>
            <c:numRef>
              <c:f>'1_20251104.wos_results'!$C$2:$C$17</c:f>
              <c:numCache/>
            </c:numRef>
          </c:val>
        </c:ser>
        <c:ser>
          <c:idx val="1"/>
          <c:order val="1"/>
          <c:tx>
            <c:strRef>
              <c:f>'1_20251104.wos_results'!$D$1</c:f>
            </c:strRef>
          </c:tx>
          <c:spPr>
            <a:solidFill>
              <a:schemeClr val="accent2"/>
            </a:solidFill>
            <a:ln cmpd="sng">
              <a:solidFill>
                <a:srgbClr val="000000"/>
              </a:solidFill>
            </a:ln>
          </c:spPr>
          <c:cat>
            <c:strRef>
              <c:f>'1_20251104.wos_results'!$A$2:$A$17</c:f>
            </c:strRef>
          </c:cat>
          <c:val>
            <c:numRef>
              <c:f>'1_20251104.wos_results'!$D$2:$D$17</c:f>
              <c:numCache/>
            </c:numRef>
          </c:val>
        </c:ser>
        <c:ser>
          <c:idx val="2"/>
          <c:order val="2"/>
          <c:tx>
            <c:strRef>
              <c:f>'1_20251104.wos_results'!$E$1</c:f>
            </c:strRef>
          </c:tx>
          <c:spPr>
            <a:solidFill>
              <a:schemeClr val="accent3"/>
            </a:solidFill>
            <a:ln cmpd="sng">
              <a:solidFill>
                <a:srgbClr val="000000"/>
              </a:solidFill>
            </a:ln>
          </c:spPr>
          <c:cat>
            <c:strRef>
              <c:f>'1_20251104.wos_results'!$A$2:$A$17</c:f>
            </c:strRef>
          </c:cat>
          <c:val>
            <c:numRef>
              <c:f>'1_20251104.wos_results'!$E$2:$E$17</c:f>
              <c:numCache/>
            </c:numRef>
          </c:val>
        </c:ser>
        <c:ser>
          <c:idx val="3"/>
          <c:order val="3"/>
          <c:tx>
            <c:strRef>
              <c:f>'1_20251104.wos_results'!$F$1</c:f>
            </c:strRef>
          </c:tx>
          <c:spPr>
            <a:solidFill>
              <a:schemeClr val="accent4"/>
            </a:solidFill>
            <a:ln cmpd="sng">
              <a:solidFill>
                <a:srgbClr val="000000"/>
              </a:solidFill>
            </a:ln>
          </c:spPr>
          <c:cat>
            <c:strRef>
              <c:f>'1_20251104.wos_results'!$A$2:$A$17</c:f>
            </c:strRef>
          </c:cat>
          <c:val>
            <c:numRef>
              <c:f>'1_20251104.wos_results'!$F$2:$F$17</c:f>
              <c:numCache/>
            </c:numRef>
          </c:val>
        </c:ser>
        <c:ser>
          <c:idx val="4"/>
          <c:order val="4"/>
          <c:tx>
            <c:strRef>
              <c:f>'1_20251104.wos_results'!$G$1</c:f>
            </c:strRef>
          </c:tx>
          <c:spPr>
            <a:solidFill>
              <a:schemeClr val="accent5"/>
            </a:solidFill>
            <a:ln cmpd="sng">
              <a:solidFill>
                <a:srgbClr val="000000"/>
              </a:solidFill>
            </a:ln>
          </c:spPr>
          <c:cat>
            <c:strRef>
              <c:f>'1_20251104.wos_results'!$A$2:$A$17</c:f>
            </c:strRef>
          </c:cat>
          <c:val>
            <c:numRef>
              <c:f>'1_20251104.wos_results'!$G$2:$G$17</c:f>
              <c:numCache/>
            </c:numRef>
          </c:val>
        </c:ser>
        <c:ser>
          <c:idx val="5"/>
          <c:order val="5"/>
          <c:tx>
            <c:strRef>
              <c:f>'1_20251104.wos_results'!$H$1</c:f>
            </c:strRef>
          </c:tx>
          <c:spPr>
            <a:solidFill>
              <a:schemeClr val="accent6"/>
            </a:solidFill>
            <a:ln cmpd="sng">
              <a:solidFill>
                <a:srgbClr val="000000"/>
              </a:solidFill>
            </a:ln>
          </c:spPr>
          <c:cat>
            <c:strRef>
              <c:f>'1_20251104.wos_results'!$A$2:$A$17</c:f>
            </c:strRef>
          </c:cat>
          <c:val>
            <c:numRef>
              <c:f>'1_20251104.wos_results'!$H$2:$H$17</c:f>
              <c:numCache/>
            </c:numRef>
          </c:val>
        </c:ser>
        <c:ser>
          <c:idx val="6"/>
          <c:order val="6"/>
          <c:tx>
            <c:strRef>
              <c:f>'1_20251104.wos_results'!$I$1</c:f>
            </c:strRef>
          </c:tx>
          <c:spPr>
            <a:solidFill>
              <a:schemeClr val="accent1">
                <a:lumOff val="30000"/>
              </a:schemeClr>
            </a:solidFill>
            <a:ln cmpd="sng">
              <a:solidFill>
                <a:srgbClr val="000000"/>
              </a:solidFill>
            </a:ln>
          </c:spPr>
          <c:cat>
            <c:strRef>
              <c:f>'1_20251104.wos_results'!$A$2:$A$17</c:f>
            </c:strRef>
          </c:cat>
          <c:val>
            <c:numRef>
              <c:f>'1_20251104.wos_results'!$I$2:$I$17</c:f>
              <c:numCache/>
            </c:numRef>
          </c:val>
        </c:ser>
        <c:ser>
          <c:idx val="7"/>
          <c:order val="7"/>
          <c:tx>
            <c:strRef>
              <c:f>'1_20251104.wos_results'!$J$1</c:f>
            </c:strRef>
          </c:tx>
          <c:spPr>
            <a:solidFill>
              <a:schemeClr val="accent2">
                <a:lumOff val="30000"/>
              </a:schemeClr>
            </a:solidFill>
            <a:ln cmpd="sng">
              <a:solidFill>
                <a:srgbClr val="000000"/>
              </a:solidFill>
            </a:ln>
          </c:spPr>
          <c:cat>
            <c:strRef>
              <c:f>'1_20251104.wos_results'!$A$2:$A$17</c:f>
            </c:strRef>
          </c:cat>
          <c:val>
            <c:numRef>
              <c:f>'1_20251104.wos_results'!$J$2:$J$17</c:f>
              <c:numCache/>
            </c:numRef>
          </c:val>
        </c:ser>
        <c:ser>
          <c:idx val="8"/>
          <c:order val="8"/>
          <c:tx>
            <c:strRef>
              <c:f>'1_20251104.wos_results'!$K$1</c:f>
            </c:strRef>
          </c:tx>
          <c:cat>
            <c:strRef>
              <c:f>'1_20251104.wos_results'!$A$2:$A$17</c:f>
            </c:strRef>
          </c:cat>
          <c:val>
            <c:numRef>
              <c:f>'1_20251104.wos_results'!$K$2:$K$17</c:f>
              <c:numCache/>
            </c:numRef>
          </c:val>
        </c:ser>
        <c:overlap val="100"/>
        <c:axId val="1000617122"/>
        <c:axId val="1192586985"/>
      </c:barChart>
      <c:catAx>
        <c:axId val="1000617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Journal</a:t>
                </a:r>
              </a:p>
            </c:rich>
          </c:tx>
          <c:overlay val="0"/>
        </c:title>
        <c:numFmt formatCode="General" sourceLinked="1"/>
        <c:majorTickMark val="none"/>
        <c:minorTickMark val="none"/>
        <c:spPr/>
        <c:txPr>
          <a:bodyPr/>
          <a:lstStyle/>
          <a:p>
            <a:pPr lvl="0">
              <a:defRPr b="0">
                <a:solidFill>
                  <a:srgbClr val="000000"/>
                </a:solidFill>
                <a:latin typeface="+mn-lt"/>
              </a:defRPr>
            </a:pPr>
          </a:p>
        </c:txPr>
        <c:crossAx val="1192586985"/>
      </c:catAx>
      <c:valAx>
        <c:axId val="1192586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06171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scopus_results!$BB$18</c:f>
            </c:strRef>
          </c:cat>
          <c:val>
            <c:numRef>
              <c:f>scopus_results!$BH$2:$BH$24</c:f>
              <c:numCache/>
            </c:numRef>
          </c:val>
        </c:ser>
        <c:ser>
          <c:idx val="1"/>
          <c:order val="1"/>
          <c:cat>
            <c:strRef>
              <c:f>scopus_results!$BB$18</c:f>
            </c:strRef>
          </c:cat>
          <c:val>
            <c:numRef>
              <c:f>scopus_results!$A$2:$A$27</c:f>
              <c:numCache/>
            </c:numRef>
          </c:val>
        </c:ser>
        <c:axId val="2109184432"/>
        <c:axId val="913753084"/>
      </c:barChart>
      <c:catAx>
        <c:axId val="21091844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13753084"/>
      </c:catAx>
      <c:valAx>
        <c:axId val="9137530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9184432"/>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circle"/>
            <c:size val="5"/>
            <c:spPr>
              <a:solidFill>
                <a:srgbClr val="4285F4"/>
              </a:solidFill>
              <a:ln cmpd="sng">
                <a:solidFill>
                  <a:srgbClr val="4285F4"/>
                </a:solidFill>
              </a:ln>
            </c:spPr>
          </c:marker>
          <c:trendline>
            <c:name>Linha de tendência para série 1</c:name>
            <c:spPr>
              <a:ln w="19050">
                <a:solidFill>
                  <a:srgbClr val="000000"/>
                </a:solidFill>
              </a:ln>
            </c:spPr>
            <c:trendlineType val="linear"/>
            <c:dispRSqr val="1"/>
            <c:dispEq val="0"/>
          </c:trendline>
          <c:cat>
            <c:strRef>
              <c:f>scopus_results!$D$2:$D$26</c:f>
            </c:strRef>
          </c:cat>
          <c:val>
            <c:numRef>
              <c:f>scopus_results!$BJ$2:$BJ$13</c:f>
              <c:numCache/>
            </c:numRef>
          </c:val>
          <c:smooth val="0"/>
        </c:ser>
        <c:axId val="1671574022"/>
        <c:axId val="1573870495"/>
      </c:lineChart>
      <c:catAx>
        <c:axId val="16715740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73870495"/>
      </c:catAx>
      <c:valAx>
        <c:axId val="1573870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157402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scopus_results!$BH$2:$BH$26</c:f>
              <c:numCache/>
            </c:numRef>
          </c:val>
          <c:smooth val="0"/>
        </c:ser>
        <c:axId val="1942116958"/>
        <c:axId val="214697927"/>
      </c:lineChart>
      <c:catAx>
        <c:axId val="1942116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4697927"/>
      </c:catAx>
      <c:valAx>
        <c:axId val="214697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211695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trendline>
            <c:name/>
            <c:spPr>
              <a:ln w="19050">
                <a:solidFill>
                  <a:srgbClr val="000000"/>
                </a:solidFill>
              </a:ln>
            </c:spPr>
            <c:trendlineType val="exp"/>
            <c:dispRSqr val="1"/>
            <c:dispEq val="1"/>
          </c:trendline>
          <c:cat>
            <c:strRef>
              <c:f>scopus_results!$BI$2:$BI$26</c:f>
            </c:strRef>
          </c:cat>
          <c:val>
            <c:numRef>
              <c:f>scopus_results!$BH$2:$BH$26</c:f>
              <c:numCache/>
            </c:numRef>
          </c:val>
          <c:smooth val="0"/>
        </c:ser>
        <c:axId val="1531250174"/>
        <c:axId val="1596229810"/>
      </c:lineChart>
      <c:catAx>
        <c:axId val="15312501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6229810"/>
      </c:catAx>
      <c:valAx>
        <c:axId val="15962298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125017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676275</xdr:colOff>
      <xdr:row>7</xdr:row>
      <xdr:rowOff>161925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33</xdr:row>
      <xdr:rowOff>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638175</xdr:colOff>
      <xdr:row>32</xdr:row>
      <xdr:rowOff>114300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85725</xdr:colOff>
      <xdr:row>32</xdr:row>
      <xdr:rowOff>114300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55</xdr:col>
      <xdr:colOff>885825</xdr:colOff>
      <xdr:row>30</xdr:row>
      <xdr:rowOff>123825</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opus.com/inward/record.uri?eid=2-s2.0-105018580210&amp;doi=10.1115%2FES2025-155281&amp;partnerID=40&amp;md5=03938162bda3eb477717015e2572a5b8" TargetMode="External"/><Relationship Id="rId42" Type="http://schemas.openxmlformats.org/officeDocument/2006/relationships/hyperlink" Target="https://www.scopus.com/inward/record.uri?eid=2-s2.0-85186518800&amp;doi=10.1016%2Fj.jnca.2024.103857&amp;partnerID=40&amp;md5=a81535e3de5635c4631f20bbba5c9edf" TargetMode="External"/><Relationship Id="rId41" Type="http://schemas.openxmlformats.org/officeDocument/2006/relationships/hyperlink" Target="https://www.scopus.com/inward/record.uri?eid=2-s2.0-85145973213&amp;doi=10.1016%2Fj.infsof.2022.107145&amp;partnerID=40&amp;md5=afd871929f6fac05875cf810de436e3f" TargetMode="External"/><Relationship Id="rId44" Type="http://schemas.openxmlformats.org/officeDocument/2006/relationships/hyperlink" Target="https://www.scopus.com/inward/record.uri?eid=2-s2.0-85134599958&amp;doi=10.1016%2Fj.infsof.2022.107008&amp;partnerID=40&amp;md5=0a8b3469e8918d3f024bd120171e805d" TargetMode="External"/><Relationship Id="rId43" Type="http://schemas.openxmlformats.org/officeDocument/2006/relationships/hyperlink" Target="https://www.scopus.com/inward/record.uri?eid=2-s2.0-85182144537&amp;doi=10.1177%2F21582440231220768&amp;partnerID=40&amp;md5=e4645ddb5cfa50150609ee85f59ddd6d" TargetMode="External"/><Relationship Id="rId46" Type="http://schemas.openxmlformats.org/officeDocument/2006/relationships/hyperlink" Target="https://www.scopus.com/inward/record.uri?eid=2-s2.0-85203658258&amp;doi=10.1109%2FACCESS.2024.3453034&amp;partnerID=40&amp;md5=a3881aec590ef99ef5d89df4523cf655" TargetMode="External"/><Relationship Id="rId45" Type="http://schemas.openxmlformats.org/officeDocument/2006/relationships/hyperlink" Target="https://www.scopus.com/inward/record.uri?eid=2-s2.0-105001738535&amp;doi=10.3389%2Ffbuil.2025.1523464&amp;partnerID=40&amp;md5=4fc7b9fc96641280599c24842151762e" TargetMode="External"/><Relationship Id="rId1" Type="http://schemas.openxmlformats.org/officeDocument/2006/relationships/hyperlink" Target="https://www.scopus.com/inward/record.uri?eid=2-s2.0-85205923870&amp;doi=10.1186%2Fs42162-024-00385-5&amp;partnerID=40&amp;md5=806c3f02ba8c9f382702f93b30376aed" TargetMode="External"/><Relationship Id="rId2" Type="http://schemas.openxmlformats.org/officeDocument/2006/relationships/hyperlink" Target="https://www.scopus.com/inward/record.uri?eid=2-s2.0-105013772709&amp;doi=10.1016%2Fj.apenergy.2025.126670&amp;partnerID=40&amp;md5=c1cad25a7dc752b2dbd6cb8ee9706b33" TargetMode="External"/><Relationship Id="rId3" Type="http://schemas.openxmlformats.org/officeDocument/2006/relationships/hyperlink" Target="https://www.scopus.com/inward/record.uri?eid=2-s2.0-85177460118&amp;doi=10.1109%2FICISS59129.2023.10291219&amp;partnerID=40&amp;md5=a6bc6d3e07f2b2bddf90df9ceb1c59fd" TargetMode="External"/><Relationship Id="rId4" Type="http://schemas.openxmlformats.org/officeDocument/2006/relationships/hyperlink" Target="https://www.scopus.com/inward/record.uri?eid=2-s2.0-105018889828&amp;doi=10.18280%2Fijsdp.200801&amp;partnerID=40&amp;md5=a6858ecf572b9ea40e2bd53c60298ce0" TargetMode="External"/><Relationship Id="rId9" Type="http://schemas.openxmlformats.org/officeDocument/2006/relationships/hyperlink" Target="https://www.scopus.com/inward/record.uri?eid=2-s2.0-85186955788&amp;partnerID=40&amp;md5=69a0173d87c1a6defc9d849b238e4cad" TargetMode="External"/><Relationship Id="rId48" Type="http://schemas.openxmlformats.org/officeDocument/2006/relationships/hyperlink" Target="https://www.scopus.com/inward/record.uri?eid=2-s2.0-105017136612&amp;doi=10.1108%2FBEPAM-03-2025-0090&amp;partnerID=40&amp;md5=de99655b5d1476f74c18009e75d82ce2" TargetMode="External"/><Relationship Id="rId47" Type="http://schemas.openxmlformats.org/officeDocument/2006/relationships/hyperlink" Target="https://www.scopus.com/inward/record.uri?eid=2-s2.0-85171773723&amp;doi=10.1080%2F15583058.2023.2258084&amp;partnerID=40&amp;md5=88366de9e7dd8c50d0ba243629e81fbf" TargetMode="External"/><Relationship Id="rId49" Type="http://schemas.openxmlformats.org/officeDocument/2006/relationships/hyperlink" Target="https://www.scopus.com/inward/record.uri?eid=2-s2.0-85163715089&amp;doi=10.1016%2Fj.scs.2023.104862&amp;partnerID=40&amp;md5=3a973d54c56975bddbf3bf773c3473a8" TargetMode="External"/><Relationship Id="rId5" Type="http://schemas.openxmlformats.org/officeDocument/2006/relationships/hyperlink" Target="https://www.scopus.com/inward/record.uri?eid=2-s2.0-105003656265&amp;doi=10.3390%2Fsu17083560&amp;partnerID=40&amp;md5=15880fe7a56c0315846422e00798a2f4" TargetMode="External"/><Relationship Id="rId6" Type="http://schemas.openxmlformats.org/officeDocument/2006/relationships/hyperlink" Target="https://www.scopus.com/inward/record.uri?eid=2-s2.0-105013996327&amp;doi=10.1109%2FACCESS.2025.3601615&amp;partnerID=40&amp;md5=77d1ad982062f63bd474c7c3f19c5387" TargetMode="External"/><Relationship Id="rId7" Type="http://schemas.openxmlformats.org/officeDocument/2006/relationships/hyperlink" Target="https://www.scopus.com/inward/record.uri?eid=2-s2.0-85138270893&amp;doi=10.1080%2F10447318.2022.2118189&amp;partnerID=40&amp;md5=f201ed7ffac05dac9bd2c18e89be14e9" TargetMode="External"/><Relationship Id="rId8" Type="http://schemas.openxmlformats.org/officeDocument/2006/relationships/hyperlink" Target="https://www.scopus.com/inward/record.uri?eid=2-s2.0-105015479266&amp;doi=10.1007%2F978-3-032-03538-7_22&amp;partnerID=40&amp;md5=f4812bfa7bde5366bad1c4f8aa0ac42b" TargetMode="External"/><Relationship Id="rId31" Type="http://schemas.openxmlformats.org/officeDocument/2006/relationships/hyperlink" Target="https://www.scopus.com/inward/record.uri?eid=2-s2.0-85206489227&amp;doi=10.3390%2Frs16193672&amp;partnerID=40&amp;md5=afa43be925d957290674064b6bad9b56" TargetMode="External"/><Relationship Id="rId30" Type="http://schemas.openxmlformats.org/officeDocument/2006/relationships/hyperlink" Target="https://www.scopus.com/inward/record.uri?eid=2-s2.0-85200210203&amp;doi=10.1016%2Fj.enbuild.2024.114567&amp;partnerID=40&amp;md5=1d09c50942a0181f58ba3b4c6adc5220" TargetMode="External"/><Relationship Id="rId33" Type="http://schemas.openxmlformats.org/officeDocument/2006/relationships/hyperlink" Target="https://www.scopus.com/inward/record.uri?eid=2-s2.0-105007306263&amp;doi=10.1109%2FICTCS65341.2025.10989480&amp;partnerID=40&amp;md5=e0a87df2258595a4ff9171a03970ff8e" TargetMode="External"/><Relationship Id="rId32" Type="http://schemas.openxmlformats.org/officeDocument/2006/relationships/hyperlink" Target="https://www.scopus.com/inward/record.uri?eid=2-s2.0-105008981432&amp;doi=10.3390%2Furbansci9060202&amp;partnerID=40&amp;md5=2278f284959edfdce4dad18669402efe" TargetMode="External"/><Relationship Id="rId35" Type="http://schemas.openxmlformats.org/officeDocument/2006/relationships/hyperlink" Target="https://www.scopus.com/inward/record.uri?eid=2-s2.0-105000967139&amp;doi=10.3390%2Fapp15063337&amp;partnerID=40&amp;md5=2ce8ac8861b9263c62ff1948af512185" TargetMode="External"/><Relationship Id="rId34" Type="http://schemas.openxmlformats.org/officeDocument/2006/relationships/hyperlink" Target="https://www.scopus.com/inward/record.uri?eid=2-s2.0-85195424921&amp;doi=10.1016%2Fj.infsof.2024.107503&amp;partnerID=40&amp;md5=ce0d2d117645a9406b3858fcfcd59764" TargetMode="External"/><Relationship Id="rId37" Type="http://schemas.openxmlformats.org/officeDocument/2006/relationships/hyperlink" Target="https://www.scopus.com/inward/record.uri?eid=2-s2.0-85149252247&amp;doi=10.3390%2Fsu15043713&amp;partnerID=40&amp;md5=c5643201463b37d16e10461c9a18b6fb" TargetMode="External"/><Relationship Id="rId36" Type="http://schemas.openxmlformats.org/officeDocument/2006/relationships/hyperlink" Target="https://www.scopus.com/inward/record.uri?eid=2-s2.0-105020198219&amp;doi=10.3390%2Fsmartcities8050175&amp;partnerID=40&amp;md5=23e9e085154401155205b39c42dc136f" TargetMode="External"/><Relationship Id="rId39" Type="http://schemas.openxmlformats.org/officeDocument/2006/relationships/hyperlink" Target="https://www.scopus.com/inward/record.uri?eid=2-s2.0-105020026946&amp;doi=10.3390%2Fsmartcities8050142&amp;partnerID=40&amp;md5=82ccf5690826dde27880a069d354bbe0" TargetMode="External"/><Relationship Id="rId38" Type="http://schemas.openxmlformats.org/officeDocument/2006/relationships/hyperlink" Target="https://www.scopus.com/inward/record.uri?eid=2-s2.0-85105600759&amp;doi=10.1016%2Fj.compind.2021.103469&amp;partnerID=40&amp;md5=41206d190fd9540272f0138326c7f409" TargetMode="External"/><Relationship Id="rId20" Type="http://schemas.openxmlformats.org/officeDocument/2006/relationships/hyperlink" Target="https://www.scopus.com/inward/record.uri?eid=2-s2.0-105017734857&amp;doi=10.1016%2Fj.jobe.2025.114214&amp;partnerID=40&amp;md5=c1f58863737ce1119fe9d5a1aa854ffb" TargetMode="External"/><Relationship Id="rId22" Type="http://schemas.openxmlformats.org/officeDocument/2006/relationships/hyperlink" Target="https://www.scopus.com/inward/record.uri?eid=2-s2.0-85181034395&amp;doi=10.1016%2Fj.future.2023.12.013&amp;partnerID=40&amp;md5=b0373df306d2e0b07ca6325f30170f8c" TargetMode="External"/><Relationship Id="rId21" Type="http://schemas.openxmlformats.org/officeDocument/2006/relationships/hyperlink" Target="https://www.scopus.com/inward/record.uri?eid=2-s2.0-85081219520&amp;doi=10.1016%2Fj.cirpj.2020.02.002&amp;partnerID=40&amp;md5=48ff58a3a8fe6d1030612672627a9ff4" TargetMode="External"/><Relationship Id="rId24" Type="http://schemas.openxmlformats.org/officeDocument/2006/relationships/hyperlink" Target="https://www.scopus.com/inward/record.uri?eid=2-s2.0-85215411229&amp;doi=10.3897%2Fjucs.114607&amp;partnerID=40&amp;md5=922bff14ca4a6e45eee740c5d3346c01" TargetMode="External"/><Relationship Id="rId23" Type="http://schemas.openxmlformats.org/officeDocument/2006/relationships/hyperlink" Target="https://www.scopus.com/inward/record.uri?eid=2-s2.0-85190070128&amp;doi=10.1016%2Fj.datak.2024.102304&amp;partnerID=40&amp;md5=3ba1ba433815b394e18632a808eb6a25" TargetMode="External"/><Relationship Id="rId26" Type="http://schemas.openxmlformats.org/officeDocument/2006/relationships/hyperlink" Target="https://www.scopus.com/inward/record.uri?eid=2-s2.0-85147190635&amp;doi=10.1016%2Fj.aei.2023.101876&amp;partnerID=40&amp;md5=1fef1c7d5560fff85bb43b7e52e3f651" TargetMode="External"/><Relationship Id="rId25" Type="http://schemas.openxmlformats.org/officeDocument/2006/relationships/hyperlink" Target="https://www.scopus.com/inward/record.uri?eid=2-s2.0-85212072573&amp;doi=10.1109%2FACCESS.2024.3514923&amp;partnerID=40&amp;md5=8370c37531ebbe7cb82c6cd7369a4d70" TargetMode="External"/><Relationship Id="rId28" Type="http://schemas.openxmlformats.org/officeDocument/2006/relationships/hyperlink" Target="https://www.scopus.com/inward/record.uri?eid=2-s2.0-86000775946&amp;doi=10.3390%2Fsu17052318&amp;partnerID=40&amp;md5=43be33f4644d39296f2d527a1272e2af" TargetMode="External"/><Relationship Id="rId27" Type="http://schemas.openxmlformats.org/officeDocument/2006/relationships/hyperlink" Target="https://www.scopus.com/inward/record.uri?eid=2-s2.0-105017090734&amp;doi=10.3390%2Fmachines13090755&amp;partnerID=40&amp;md5=cca26277ff5f00407bca2077f6ce4268" TargetMode="External"/><Relationship Id="rId29" Type="http://schemas.openxmlformats.org/officeDocument/2006/relationships/hyperlink" Target="https://www.scopus.com/inward/record.uri?eid=2-s2.0-85129655945&amp;doi=10.1007%2F978-3-030-98225-6_5&amp;partnerID=40&amp;md5=de0feb522c7689344c18f217a7c97903" TargetMode="External"/><Relationship Id="rId51" Type="http://schemas.openxmlformats.org/officeDocument/2006/relationships/hyperlink" Target="https://www.scopus.com/inward/record.uri?eid=2-s2.0-85189082336&amp;doi=10.1093%2Fiti%2Fliad024&amp;partnerID=40&amp;md5=b23a1c26f1dc1cbd23051abebee84e3c" TargetMode="External"/><Relationship Id="rId50" Type="http://schemas.openxmlformats.org/officeDocument/2006/relationships/hyperlink" Target="https://www.scopus.com/inward/record.uri?eid=2-s2.0-85173285566&amp;doi=10.1016%2Fj.mfglet.2023.08.014&amp;partnerID=40&amp;md5=2439a457b6b7305947c2c1057c6b7e03" TargetMode="External"/><Relationship Id="rId53" Type="http://schemas.openxmlformats.org/officeDocument/2006/relationships/hyperlink" Target="https://www.scopus.com/inward/record.uri?eid=2-s2.0-85160690565&amp;doi=10.1186%2Fs42492-023-00137-4&amp;partnerID=40&amp;md5=5d2739346364fd7fe2183c47dc114cf6" TargetMode="External"/><Relationship Id="rId52" Type="http://schemas.openxmlformats.org/officeDocument/2006/relationships/hyperlink" Target="https://www.scopus.com/inward/record.uri?eid=2-s2.0-85207235923&amp;partnerID=40&amp;md5=81d7e06303489f52ab17b75ea2d1799d" TargetMode="External"/><Relationship Id="rId11" Type="http://schemas.openxmlformats.org/officeDocument/2006/relationships/hyperlink" Target="https://www.scopus.com/inward/record.uri?eid=2-s2.0-105011843823&amp;doi=10.1016%2Fj.jmsy.2025.07.006&amp;partnerID=40&amp;md5=59e79e71eab83ffa0cf8fec10c766bc6" TargetMode="External"/><Relationship Id="rId55" Type="http://schemas.openxmlformats.org/officeDocument/2006/relationships/hyperlink" Target="https://www.scopus.com/inward/record.uri?eid=2-s2.0-85200484581&amp;doi=10.1080%2F0951192X.2024.2388927&amp;partnerID=40&amp;md5=8964775f0e123504cbe40ad4b4282b0e" TargetMode="External"/><Relationship Id="rId10" Type="http://schemas.openxmlformats.org/officeDocument/2006/relationships/hyperlink" Target="https://www.scopus.com/inward/record.uri?eid=2-s2.0-85108827458&amp;doi=10.3390%2Fapp11125519&amp;partnerID=40&amp;md5=63dfdb02313f91047730df956c13b858" TargetMode="External"/><Relationship Id="rId54" Type="http://schemas.openxmlformats.org/officeDocument/2006/relationships/hyperlink" Target="https://www.scopus.com/inward/record.uri?eid=2-s2.0-85197498186&amp;doi=10.1109%2FOJPEL.2024.3422021&amp;partnerID=40&amp;md5=54570fa7fa287621337f8435e0104c71" TargetMode="External"/><Relationship Id="rId13" Type="http://schemas.openxmlformats.org/officeDocument/2006/relationships/hyperlink" Target="https://www.scopus.com/inward/record.uri?eid=2-s2.0-85135149735&amp;doi=10.1590%2F1806-9649-2022V29E9621&amp;partnerID=40&amp;md5=6e38367059feb9e75f249d57b6be36e4" TargetMode="External"/><Relationship Id="rId12" Type="http://schemas.openxmlformats.org/officeDocument/2006/relationships/hyperlink" Target="https://www.scopus.com/inward/record.uri?eid=2-s2.0-85153108953&amp;doi=10.1007%2Fs10115-023-01870-1&amp;partnerID=40&amp;md5=33e53121b1ddf8796cf152499abf999c" TargetMode="External"/><Relationship Id="rId56" Type="http://schemas.openxmlformats.org/officeDocument/2006/relationships/drawing" Target="../drawings/drawing4.xml"/><Relationship Id="rId15" Type="http://schemas.openxmlformats.org/officeDocument/2006/relationships/hyperlink" Target="https://www.scopus.com/inward/record.uri?eid=2-s2.0-85166732531&amp;doi=10.1109%2FSoSE59841.2023.10178669&amp;partnerID=40&amp;md5=3c1fa869111fb74c669f44a07a57df6a" TargetMode="External"/><Relationship Id="rId14" Type="http://schemas.openxmlformats.org/officeDocument/2006/relationships/hyperlink" Target="https://www.scopus.com/inward/record.uri?eid=2-s2.0-85102693068&amp;doi=10.1080%2F00207543.2021.1898691&amp;partnerID=40&amp;md5=a4c004c82536f6bb4277f27b7db2576b" TargetMode="External"/><Relationship Id="rId17" Type="http://schemas.openxmlformats.org/officeDocument/2006/relationships/hyperlink" Target="https://www.scopus.com/inward/record.uri?eid=2-s2.0-85213848996&amp;doi=10.1016%2Fj.compind.2024.104230&amp;partnerID=40&amp;md5=91e614ad93f82aa9749e6d781c80f36b" TargetMode="External"/><Relationship Id="rId16" Type="http://schemas.openxmlformats.org/officeDocument/2006/relationships/hyperlink" Target="https://www.scopus.com/inward/record.uri?eid=2-s2.0-105000464865&amp;doi=10.1016%2Fj.procs.2025.02.016&amp;partnerID=40&amp;md5=8443907cbbc36afa07529bf89cc4771a" TargetMode="External"/><Relationship Id="rId19" Type="http://schemas.openxmlformats.org/officeDocument/2006/relationships/hyperlink" Target="https://www.scopus.com/inward/record.uri?eid=2-s2.0-85196390166&amp;doi=10.3390%2Fapp14030977&amp;partnerID=40&amp;md5=5eb84543f477f4596d8e60886c4e2f47" TargetMode="External"/><Relationship Id="rId18" Type="http://schemas.openxmlformats.org/officeDocument/2006/relationships/hyperlink" Target="https://www.scopus.com/inward/record.uri?eid=2-s2.0-105016645625&amp;doi=10.1109%2FACCESS.2025.3610067&amp;partnerID=40&amp;md5=e9cffb45328dae5702b27a2fb633e97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25"/>
    <col customWidth="1" min="2" max="2" width="52.13"/>
    <col customWidth="1" min="3" max="3" width="11.0"/>
    <col customWidth="1" min="4" max="4" width="10.5"/>
    <col customWidth="1" min="5" max="5" width="16.13"/>
    <col customWidth="1" min="6" max="6" width="72.75"/>
    <col customWidth="1" min="7" max="7" width="19.0"/>
    <col customWidth="1" min="8" max="8" width="11.88"/>
    <col customWidth="1" min="9" max="9" width="113.0"/>
    <col customWidth="1" min="10" max="10" width="55.0"/>
    <col customWidth="1" min="11" max="11" width="13.5"/>
    <col customWidth="1" min="12" max="12" width="16.0"/>
    <col customWidth="1" min="13" max="13" width="8.38"/>
    <col customWidth="1" min="14" max="14" width="12.63"/>
    <col customWidth="1" min="15" max="15" width="13.13"/>
    <col customWidth="1" min="16" max="16" width="13.63"/>
    <col customWidth="1" min="17" max="17" width="16.38"/>
    <col customWidth="1" min="18" max="18" width="16.25"/>
    <col customWidth="1" min="19" max="19" width="13.5"/>
    <col customWidth="1" min="20" max="20" width="132.5"/>
    <col customWidth="1" min="21" max="21" width="127.25"/>
    <col customWidth="1" min="22" max="22" width="15.13"/>
    <col customWidth="1" min="23" max="23" width="17.88"/>
    <col customWidth="1" min="24" max="24" width="20.75"/>
    <col customWidth="1" min="25" max="25" width="17.13"/>
    <col customWidth="1" min="26" max="26" width="17.25"/>
    <col customWidth="1" min="27" max="27" width="117.5"/>
    <col customWidth="1" min="28" max="28" width="135.88"/>
    <col customWidth="1" min="29" max="29" width="120.88"/>
    <col customWidth="1" min="30" max="30" width="197.75"/>
    <col customWidth="1" min="31" max="31" width="902.63"/>
    <col customWidth="1" min="32" max="32" width="13.88"/>
    <col customWidth="1" min="33" max="33" width="18.0"/>
    <col customWidth="1" min="34" max="34" width="18.38"/>
    <col customWidth="1" min="35" max="35" width="21.0"/>
    <col customWidth="1" min="36" max="36" width="17.38"/>
    <col customWidth="1" min="37" max="37" width="19.5"/>
    <col customWidth="1" min="38" max="38" width="45.75"/>
    <col customWidth="1" min="39" max="39" width="11.63"/>
    <col customWidth="1" min="40" max="40" width="45.0"/>
    <col customWidth="1" min="41" max="42" width="9.0"/>
    <col customWidth="1" min="43" max="43" width="4.88"/>
    <col customWidth="1" min="44" max="44" width="22.38"/>
    <col customWidth="1" min="45" max="45" width="22.25"/>
    <col customWidth="1" min="46" max="46" width="13.13"/>
    <col customWidth="1" min="47" max="47" width="13.0"/>
    <col customWidth="1" min="48" max="48" width="6.5"/>
    <col customWidth="1" min="49" max="49" width="5.0"/>
    <col customWidth="1" min="50" max="50" width="10.5"/>
    <col customWidth="1" min="51" max="51" width="9.88"/>
    <col customWidth="1" min="52" max="52" width="10.88"/>
    <col customWidth="1" min="53" max="53" width="13.5"/>
    <col customWidth="1" min="54" max="54" width="8.88"/>
    <col customWidth="1" min="55" max="55" width="8.38"/>
    <col customWidth="1" min="56" max="56" width="12.0"/>
    <col customWidth="1" min="57" max="57" width="25.38"/>
    <col customWidth="1" min="58" max="58" width="37.25"/>
    <col customWidth="1" min="59" max="59" width="8.25"/>
    <col customWidth="1" min="60" max="60" width="14.63"/>
    <col customWidth="1" min="61" max="61" width="14.0"/>
    <col customWidth="1" min="62" max="62" width="73.75"/>
    <col customWidth="1" min="63" max="63" width="67.5"/>
    <col customWidth="1" min="64" max="64" width="67.63"/>
    <col customWidth="1" min="65" max="65" width="10.13"/>
    <col customWidth="1" min="66" max="66" width="9.0"/>
    <col customWidth="1" min="67" max="67" width="21.0"/>
    <col customWidth="1" min="68" max="68" width="15.13"/>
    <col customWidth="1" min="69" max="69" width="13.75"/>
    <col customWidth="1" min="70" max="70" width="11.63"/>
    <col customWidth="1" min="71" max="71" width="19.38"/>
    <col customWidth="1" min="72" max="72" width="27.3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78</v>
      </c>
      <c r="N2" s="1" t="s">
        <v>79</v>
      </c>
      <c r="O2" s="1" t="s">
        <v>74</v>
      </c>
      <c r="P2" s="1" t="s">
        <v>74</v>
      </c>
      <c r="Q2" s="1" t="s">
        <v>74</v>
      </c>
      <c r="R2" s="1" t="s">
        <v>74</v>
      </c>
      <c r="S2" s="1" t="s">
        <v>74</v>
      </c>
      <c r="T2" s="1" t="s">
        <v>80</v>
      </c>
      <c r="U2" s="1" t="s">
        <v>81</v>
      </c>
      <c r="V2" s="1" t="s">
        <v>82</v>
      </c>
      <c r="W2" s="1" t="s">
        <v>83</v>
      </c>
      <c r="X2" s="1" t="s">
        <v>84</v>
      </c>
      <c r="Y2" s="1" t="s">
        <v>85</v>
      </c>
      <c r="Z2" s="1" t="s">
        <v>86</v>
      </c>
      <c r="AA2" s="1" t="s">
        <v>87</v>
      </c>
      <c r="AB2" s="1" t="s">
        <v>88</v>
      </c>
      <c r="AC2" s="1" t="s">
        <v>89</v>
      </c>
      <c r="AD2" s="1" t="s">
        <v>90</v>
      </c>
      <c r="AE2" s="1" t="s">
        <v>91</v>
      </c>
      <c r="AF2" s="1" t="s">
        <v>74</v>
      </c>
      <c r="AG2" s="1">
        <v>112.0</v>
      </c>
      <c r="AH2" s="1">
        <v>1249.0</v>
      </c>
      <c r="AI2" s="1">
        <v>1442.0</v>
      </c>
      <c r="AJ2" s="1">
        <v>114.0</v>
      </c>
      <c r="AK2" s="1">
        <v>2197.0</v>
      </c>
      <c r="AL2" s="1" t="s">
        <v>92</v>
      </c>
      <c r="AM2" s="1" t="s">
        <v>93</v>
      </c>
      <c r="AN2" s="1" t="s">
        <v>94</v>
      </c>
      <c r="AO2" s="1" t="s">
        <v>95</v>
      </c>
      <c r="AP2" s="1" t="s">
        <v>96</v>
      </c>
      <c r="AQ2" s="1" t="s">
        <v>74</v>
      </c>
      <c r="AR2" s="1" t="s">
        <v>97</v>
      </c>
      <c r="AS2" s="1" t="s">
        <v>98</v>
      </c>
      <c r="AT2" s="1" t="s">
        <v>99</v>
      </c>
      <c r="AU2" s="1">
        <v>2020.0</v>
      </c>
      <c r="AV2" s="1">
        <v>29.0</v>
      </c>
      <c r="AW2" s="1" t="s">
        <v>74</v>
      </c>
      <c r="AX2" s="1" t="s">
        <v>100</v>
      </c>
      <c r="AY2" s="1" t="s">
        <v>74</v>
      </c>
      <c r="AZ2" s="1" t="s">
        <v>74</v>
      </c>
      <c r="BA2" s="1" t="s">
        <v>74</v>
      </c>
      <c r="BB2" s="1">
        <v>36.0</v>
      </c>
      <c r="BC2" s="1">
        <v>52.0</v>
      </c>
      <c r="BD2" s="1" t="s">
        <v>74</v>
      </c>
      <c r="BE2" s="1" t="s">
        <v>101</v>
      </c>
      <c r="BF2" s="2" t="str">
        <f>HYPERLINK("http://dx.doi.org/10.1016/j.cirpj.2020.02.002","http://dx.doi.org/10.1016/j.cirpj.2020.02.002")</f>
        <v>http://dx.doi.org/10.1016/j.cirpj.2020.02.002</v>
      </c>
      <c r="BG2" s="1" t="s">
        <v>74</v>
      </c>
      <c r="BH2" s="1" t="s">
        <v>74</v>
      </c>
      <c r="BI2" s="1">
        <v>17.0</v>
      </c>
      <c r="BJ2" s="1" t="s">
        <v>102</v>
      </c>
      <c r="BK2" s="1" t="s">
        <v>103</v>
      </c>
      <c r="BL2" s="1" t="s">
        <v>104</v>
      </c>
      <c r="BM2" s="1" t="s">
        <v>105</v>
      </c>
      <c r="BN2" s="1" t="s">
        <v>74</v>
      </c>
      <c r="BO2" s="1" t="s">
        <v>106</v>
      </c>
      <c r="BP2" s="1" t="s">
        <v>107</v>
      </c>
      <c r="BQ2" s="1" t="s">
        <v>108</v>
      </c>
      <c r="BR2" s="1" t="s">
        <v>109</v>
      </c>
      <c r="BS2" s="1" t="s">
        <v>110</v>
      </c>
      <c r="BT2" s="1" t="str">
        <f>HYPERLINK("https%3A%2F%2Fwww.webofscience.com%2Fwos%2Fwoscc%2Ffull-record%2FWOS:000540340800004","View Full Record in Web of Science")</f>
        <v>View Full Record in Web of Science</v>
      </c>
    </row>
    <row r="3" ht="12.75" customHeight="1">
      <c r="A3" s="1" t="s">
        <v>72</v>
      </c>
      <c r="B3" s="1" t="s">
        <v>111</v>
      </c>
      <c r="C3" s="1" t="s">
        <v>74</v>
      </c>
      <c r="D3" s="1" t="s">
        <v>74</v>
      </c>
      <c r="E3" s="1" t="s">
        <v>74</v>
      </c>
      <c r="F3" s="1" t="s">
        <v>112</v>
      </c>
      <c r="G3" s="1" t="s">
        <v>74</v>
      </c>
      <c r="H3" s="1" t="s">
        <v>74</v>
      </c>
      <c r="I3" s="1" t="s">
        <v>113</v>
      </c>
      <c r="J3" s="1" t="s">
        <v>114</v>
      </c>
      <c r="K3" s="1" t="s">
        <v>74</v>
      </c>
      <c r="L3" s="1" t="s">
        <v>74</v>
      </c>
      <c r="M3" s="1" t="s">
        <v>78</v>
      </c>
      <c r="N3" s="1" t="s">
        <v>79</v>
      </c>
      <c r="O3" s="1" t="s">
        <v>74</v>
      </c>
      <c r="P3" s="1" t="s">
        <v>74</v>
      </c>
      <c r="Q3" s="1" t="s">
        <v>74</v>
      </c>
      <c r="R3" s="1" t="s">
        <v>74</v>
      </c>
      <c r="S3" s="1" t="s">
        <v>74</v>
      </c>
      <c r="T3" s="1" t="s">
        <v>115</v>
      </c>
      <c r="U3" s="1" t="s">
        <v>116</v>
      </c>
      <c r="V3" s="1" t="s">
        <v>117</v>
      </c>
      <c r="W3" s="1" t="s">
        <v>118</v>
      </c>
      <c r="X3" s="1" t="s">
        <v>119</v>
      </c>
      <c r="Y3" s="1" t="s">
        <v>120</v>
      </c>
      <c r="Z3" s="1" t="s">
        <v>121</v>
      </c>
      <c r="AA3" s="1" t="s">
        <v>122</v>
      </c>
      <c r="AB3" s="1" t="s">
        <v>123</v>
      </c>
      <c r="AC3" s="1" t="s">
        <v>124</v>
      </c>
      <c r="AD3" s="1" t="s">
        <v>125</v>
      </c>
      <c r="AE3" s="1" t="s">
        <v>126</v>
      </c>
      <c r="AF3" s="1" t="s">
        <v>74</v>
      </c>
      <c r="AG3" s="1">
        <v>155.0</v>
      </c>
      <c r="AH3" s="1">
        <v>499.0</v>
      </c>
      <c r="AI3" s="1">
        <v>571.0</v>
      </c>
      <c r="AJ3" s="1">
        <v>56.0</v>
      </c>
      <c r="AK3" s="1">
        <v>879.0</v>
      </c>
      <c r="AL3" s="1" t="s">
        <v>92</v>
      </c>
      <c r="AM3" s="1" t="s">
        <v>93</v>
      </c>
      <c r="AN3" s="1" t="s">
        <v>94</v>
      </c>
      <c r="AO3" s="1" t="s">
        <v>127</v>
      </c>
      <c r="AP3" s="1" t="s">
        <v>128</v>
      </c>
      <c r="AQ3" s="1" t="s">
        <v>74</v>
      </c>
      <c r="AR3" s="1" t="s">
        <v>129</v>
      </c>
      <c r="AS3" s="1" t="s">
        <v>130</v>
      </c>
      <c r="AT3" s="1" t="s">
        <v>131</v>
      </c>
      <c r="AU3" s="1">
        <v>2021.0</v>
      </c>
      <c r="AV3" s="1">
        <v>130.0</v>
      </c>
      <c r="AW3" s="1" t="s">
        <v>74</v>
      </c>
      <c r="AX3" s="1" t="s">
        <v>74</v>
      </c>
      <c r="AY3" s="1" t="s">
        <v>74</v>
      </c>
      <c r="AZ3" s="1" t="s">
        <v>74</v>
      </c>
      <c r="BA3" s="1" t="s">
        <v>74</v>
      </c>
      <c r="BB3" s="1" t="s">
        <v>74</v>
      </c>
      <c r="BC3" s="1" t="s">
        <v>74</v>
      </c>
      <c r="BD3" s="1">
        <v>103469.0</v>
      </c>
      <c r="BE3" s="1" t="s">
        <v>132</v>
      </c>
      <c r="BF3" s="2" t="str">
        <f>HYPERLINK("http://dx.doi.org/10.1016/j.compind.2021.103469","http://dx.doi.org/10.1016/j.compind.2021.103469")</f>
        <v>http://dx.doi.org/10.1016/j.compind.2021.103469</v>
      </c>
      <c r="BG3" s="1" t="s">
        <v>74</v>
      </c>
      <c r="BH3" s="1" t="s">
        <v>133</v>
      </c>
      <c r="BI3" s="1">
        <v>23.0</v>
      </c>
      <c r="BJ3" s="1" t="s">
        <v>134</v>
      </c>
      <c r="BK3" s="1" t="s">
        <v>103</v>
      </c>
      <c r="BL3" s="1" t="s">
        <v>135</v>
      </c>
      <c r="BM3" s="1" t="s">
        <v>136</v>
      </c>
      <c r="BN3" s="1" t="s">
        <v>74</v>
      </c>
      <c r="BO3" s="1" t="s">
        <v>137</v>
      </c>
      <c r="BP3" s="1" t="s">
        <v>107</v>
      </c>
      <c r="BQ3" s="1" t="s">
        <v>108</v>
      </c>
      <c r="BR3" s="1" t="s">
        <v>109</v>
      </c>
      <c r="BS3" s="1" t="s">
        <v>138</v>
      </c>
      <c r="BT3" s="1" t="str">
        <f>HYPERLINK("https%3A%2F%2Fwww.webofscience.com%2Fwos%2Fwoscc%2Ffull-record%2FWOS:000657540900006","View Full Record in Web of Science")</f>
        <v>View Full Record in Web of Science</v>
      </c>
    </row>
    <row r="4" ht="12.75" customHeight="1">
      <c r="A4" s="1" t="s">
        <v>72</v>
      </c>
      <c r="B4" s="1" t="s">
        <v>139</v>
      </c>
      <c r="C4" s="1" t="s">
        <v>74</v>
      </c>
      <c r="D4" s="1" t="s">
        <v>74</v>
      </c>
      <c r="E4" s="1" t="s">
        <v>74</v>
      </c>
      <c r="F4" s="1" t="s">
        <v>140</v>
      </c>
      <c r="G4" s="1" t="s">
        <v>74</v>
      </c>
      <c r="H4" s="1" t="s">
        <v>74</v>
      </c>
      <c r="I4" s="1" t="s">
        <v>141</v>
      </c>
      <c r="J4" s="1" t="s">
        <v>142</v>
      </c>
      <c r="K4" s="1" t="s">
        <v>74</v>
      </c>
      <c r="L4" s="1" t="s">
        <v>74</v>
      </c>
      <c r="M4" s="1" t="s">
        <v>78</v>
      </c>
      <c r="N4" s="1" t="s">
        <v>79</v>
      </c>
      <c r="O4" s="1" t="s">
        <v>74</v>
      </c>
      <c r="P4" s="1" t="s">
        <v>74</v>
      </c>
      <c r="Q4" s="1" t="s">
        <v>74</v>
      </c>
      <c r="R4" s="1" t="s">
        <v>74</v>
      </c>
      <c r="S4" s="1" t="s">
        <v>74</v>
      </c>
      <c r="T4" s="1" t="s">
        <v>143</v>
      </c>
      <c r="U4" s="1" t="s">
        <v>144</v>
      </c>
      <c r="V4" s="1" t="s">
        <v>145</v>
      </c>
      <c r="W4" s="1" t="s">
        <v>146</v>
      </c>
      <c r="X4" s="1" t="s">
        <v>147</v>
      </c>
      <c r="Y4" s="1" t="s">
        <v>148</v>
      </c>
      <c r="Z4" s="1" t="s">
        <v>149</v>
      </c>
      <c r="AA4" s="1" t="s">
        <v>150</v>
      </c>
      <c r="AB4" s="1" t="s">
        <v>151</v>
      </c>
      <c r="AC4" s="1" t="s">
        <v>74</v>
      </c>
      <c r="AD4" s="1" t="s">
        <v>74</v>
      </c>
      <c r="AE4" s="1" t="s">
        <v>74</v>
      </c>
      <c r="AF4" s="1" t="s">
        <v>74</v>
      </c>
      <c r="AG4" s="1">
        <v>175.0</v>
      </c>
      <c r="AH4" s="1">
        <v>270.0</v>
      </c>
      <c r="AI4" s="1">
        <v>327.0</v>
      </c>
      <c r="AJ4" s="1">
        <v>66.0</v>
      </c>
      <c r="AK4" s="1">
        <v>588.0</v>
      </c>
      <c r="AL4" s="1" t="s">
        <v>152</v>
      </c>
      <c r="AM4" s="1" t="s">
        <v>153</v>
      </c>
      <c r="AN4" s="1" t="s">
        <v>154</v>
      </c>
      <c r="AO4" s="1" t="s">
        <v>155</v>
      </c>
      <c r="AP4" s="1" t="s">
        <v>74</v>
      </c>
      <c r="AQ4" s="1" t="s">
        <v>74</v>
      </c>
      <c r="AR4" s="1" t="s">
        <v>142</v>
      </c>
      <c r="AS4" s="1" t="s">
        <v>156</v>
      </c>
      <c r="AT4" s="1" t="s">
        <v>74</v>
      </c>
      <c r="AU4" s="1">
        <v>2021.0</v>
      </c>
      <c r="AV4" s="1">
        <v>9.0</v>
      </c>
      <c r="AW4" s="1" t="s">
        <v>74</v>
      </c>
      <c r="AX4" s="1" t="s">
        <v>74</v>
      </c>
      <c r="AY4" s="1" t="s">
        <v>74</v>
      </c>
      <c r="AZ4" s="1" t="s">
        <v>74</v>
      </c>
      <c r="BA4" s="1" t="s">
        <v>74</v>
      </c>
      <c r="BB4" s="1">
        <v>32030.0</v>
      </c>
      <c r="BC4" s="1">
        <v>32052.0</v>
      </c>
      <c r="BD4" s="1" t="s">
        <v>74</v>
      </c>
      <c r="BE4" s="1" t="s">
        <v>157</v>
      </c>
      <c r="BF4" s="2" t="str">
        <f>HYPERLINK("http://dx.doi.org/10.1109/ACCESS.2021.3060863","http://dx.doi.org/10.1109/ACCESS.2021.3060863")</f>
        <v>http://dx.doi.org/10.1109/ACCESS.2021.3060863</v>
      </c>
      <c r="BG4" s="1" t="s">
        <v>74</v>
      </c>
      <c r="BH4" s="1" t="s">
        <v>74</v>
      </c>
      <c r="BI4" s="1">
        <v>23.0</v>
      </c>
      <c r="BJ4" s="1" t="s">
        <v>158</v>
      </c>
      <c r="BK4" s="1" t="s">
        <v>159</v>
      </c>
      <c r="BL4" s="1" t="s">
        <v>160</v>
      </c>
      <c r="BM4" s="1" t="s">
        <v>161</v>
      </c>
      <c r="BN4" s="1" t="s">
        <v>74</v>
      </c>
      <c r="BO4" s="1" t="s">
        <v>162</v>
      </c>
      <c r="BP4" s="1" t="s">
        <v>107</v>
      </c>
      <c r="BQ4" s="1" t="s">
        <v>108</v>
      </c>
      <c r="BR4" s="1" t="s">
        <v>109</v>
      </c>
      <c r="BS4" s="1" t="s">
        <v>163</v>
      </c>
      <c r="BT4" s="1" t="str">
        <f>HYPERLINK("https%3A%2F%2Fwww.webofscience.com%2Fwos%2Fwoscc%2Ffull-record%2FWOS:000623411600001","View Full Record in Web of Science")</f>
        <v>View Full Record in Web of Science</v>
      </c>
    </row>
    <row r="5" ht="12.75" customHeight="1">
      <c r="A5" s="1" t="s">
        <v>72</v>
      </c>
      <c r="B5" s="1" t="s">
        <v>164</v>
      </c>
      <c r="C5" s="1" t="s">
        <v>74</v>
      </c>
      <c r="D5" s="1" t="s">
        <v>74</v>
      </c>
      <c r="E5" s="1" t="s">
        <v>74</v>
      </c>
      <c r="F5" s="1" t="s">
        <v>165</v>
      </c>
      <c r="G5" s="1" t="s">
        <v>74</v>
      </c>
      <c r="H5" s="1" t="s">
        <v>74</v>
      </c>
      <c r="I5" s="1" t="s">
        <v>166</v>
      </c>
      <c r="J5" s="1" t="s">
        <v>167</v>
      </c>
      <c r="K5" s="1" t="s">
        <v>74</v>
      </c>
      <c r="L5" s="1" t="s">
        <v>74</v>
      </c>
      <c r="M5" s="1" t="s">
        <v>78</v>
      </c>
      <c r="N5" s="1" t="s">
        <v>79</v>
      </c>
      <c r="O5" s="1" t="s">
        <v>74</v>
      </c>
      <c r="P5" s="1" t="s">
        <v>74</v>
      </c>
      <c r="Q5" s="1" t="s">
        <v>74</v>
      </c>
      <c r="R5" s="1" t="s">
        <v>74</v>
      </c>
      <c r="S5" s="1" t="s">
        <v>74</v>
      </c>
      <c r="T5" s="1" t="s">
        <v>168</v>
      </c>
      <c r="U5" s="1" t="s">
        <v>169</v>
      </c>
      <c r="V5" s="1" t="s">
        <v>170</v>
      </c>
      <c r="W5" s="1" t="s">
        <v>171</v>
      </c>
      <c r="X5" s="1" t="s">
        <v>172</v>
      </c>
      <c r="Y5" s="1" t="s">
        <v>173</v>
      </c>
      <c r="Z5" s="1" t="s">
        <v>174</v>
      </c>
      <c r="AA5" s="1" t="s">
        <v>175</v>
      </c>
      <c r="AB5" s="1" t="s">
        <v>176</v>
      </c>
      <c r="AC5" s="1" t="s">
        <v>74</v>
      </c>
      <c r="AD5" s="1" t="s">
        <v>74</v>
      </c>
      <c r="AE5" s="1" t="s">
        <v>74</v>
      </c>
      <c r="AF5" s="1" t="s">
        <v>74</v>
      </c>
      <c r="AG5" s="1">
        <v>114.0</v>
      </c>
      <c r="AH5" s="1">
        <v>196.0</v>
      </c>
      <c r="AI5" s="1">
        <v>232.0</v>
      </c>
      <c r="AJ5" s="1">
        <v>52.0</v>
      </c>
      <c r="AK5" s="1">
        <v>567.0</v>
      </c>
      <c r="AL5" s="1" t="s">
        <v>92</v>
      </c>
      <c r="AM5" s="1" t="s">
        <v>93</v>
      </c>
      <c r="AN5" s="1" t="s">
        <v>94</v>
      </c>
      <c r="AO5" s="1" t="s">
        <v>177</v>
      </c>
      <c r="AP5" s="1" t="s">
        <v>178</v>
      </c>
      <c r="AQ5" s="1" t="s">
        <v>74</v>
      </c>
      <c r="AR5" s="1" t="s">
        <v>179</v>
      </c>
      <c r="AS5" s="1" t="s">
        <v>180</v>
      </c>
      <c r="AT5" s="1" t="s">
        <v>181</v>
      </c>
      <c r="AU5" s="1">
        <v>2022.0</v>
      </c>
      <c r="AV5" s="1">
        <v>151.0</v>
      </c>
      <c r="AW5" s="1" t="s">
        <v>74</v>
      </c>
      <c r="AX5" s="1" t="s">
        <v>74</v>
      </c>
      <c r="AY5" s="1" t="s">
        <v>74</v>
      </c>
      <c r="AZ5" s="1" t="s">
        <v>74</v>
      </c>
      <c r="BA5" s="1" t="s">
        <v>74</v>
      </c>
      <c r="BB5" s="1" t="s">
        <v>74</v>
      </c>
      <c r="BC5" s="1" t="s">
        <v>74</v>
      </c>
      <c r="BD5" s="1">
        <v>107008.0</v>
      </c>
      <c r="BE5" s="1" t="s">
        <v>182</v>
      </c>
      <c r="BF5" s="2" t="str">
        <f>HYPERLINK("http://dx.doi.org/10.1016/j.infsof.2022.107008","http://dx.doi.org/10.1016/j.infsof.2022.107008")</f>
        <v>http://dx.doi.org/10.1016/j.infsof.2022.107008</v>
      </c>
      <c r="BG5" s="1" t="s">
        <v>74</v>
      </c>
      <c r="BH5" s="1" t="s">
        <v>183</v>
      </c>
      <c r="BI5" s="1">
        <v>20.0</v>
      </c>
      <c r="BJ5" s="1" t="s">
        <v>184</v>
      </c>
      <c r="BK5" s="1" t="s">
        <v>103</v>
      </c>
      <c r="BL5" s="1" t="s">
        <v>135</v>
      </c>
      <c r="BM5" s="1" t="s">
        <v>185</v>
      </c>
      <c r="BN5" s="1" t="s">
        <v>74</v>
      </c>
      <c r="BO5" s="1" t="s">
        <v>186</v>
      </c>
      <c r="BP5" s="1" t="s">
        <v>107</v>
      </c>
      <c r="BQ5" s="1" t="s">
        <v>108</v>
      </c>
      <c r="BR5" s="1" t="s">
        <v>109</v>
      </c>
      <c r="BS5" s="1" t="s">
        <v>187</v>
      </c>
      <c r="BT5" s="1" t="str">
        <f>HYPERLINK("https%3A%2F%2Fwww.webofscience.com%2Fwos%2Fwoscc%2Ffull-record%2FWOS:000859493100007","View Full Record in Web of Science")</f>
        <v>View Full Record in Web of Science</v>
      </c>
    </row>
    <row r="6" ht="12.75" customHeight="1">
      <c r="A6" s="1" t="s">
        <v>72</v>
      </c>
      <c r="B6" s="1" t="s">
        <v>188</v>
      </c>
      <c r="C6" s="1" t="s">
        <v>74</v>
      </c>
      <c r="D6" s="1" t="s">
        <v>74</v>
      </c>
      <c r="E6" s="1" t="s">
        <v>74</v>
      </c>
      <c r="F6" s="1" t="s">
        <v>189</v>
      </c>
      <c r="G6" s="1" t="s">
        <v>74</v>
      </c>
      <c r="H6" s="1" t="s">
        <v>74</v>
      </c>
      <c r="I6" s="1" t="s">
        <v>190</v>
      </c>
      <c r="J6" s="1" t="s">
        <v>191</v>
      </c>
      <c r="K6" s="1" t="s">
        <v>74</v>
      </c>
      <c r="L6" s="1" t="s">
        <v>74</v>
      </c>
      <c r="M6" s="1" t="s">
        <v>78</v>
      </c>
      <c r="N6" s="1" t="s">
        <v>79</v>
      </c>
      <c r="O6" s="1" t="s">
        <v>74</v>
      </c>
      <c r="P6" s="1" t="s">
        <v>74</v>
      </c>
      <c r="Q6" s="1" t="s">
        <v>74</v>
      </c>
      <c r="R6" s="1" t="s">
        <v>74</v>
      </c>
      <c r="S6" s="1" t="s">
        <v>74</v>
      </c>
      <c r="T6" s="1" t="s">
        <v>192</v>
      </c>
      <c r="U6" s="1" t="s">
        <v>193</v>
      </c>
      <c r="V6" s="1" t="s">
        <v>194</v>
      </c>
      <c r="W6" s="1" t="s">
        <v>195</v>
      </c>
      <c r="X6" s="1" t="s">
        <v>196</v>
      </c>
      <c r="Y6" s="1" t="s">
        <v>197</v>
      </c>
      <c r="Z6" s="1" t="s">
        <v>198</v>
      </c>
      <c r="AA6" s="1" t="s">
        <v>199</v>
      </c>
      <c r="AB6" s="1" t="s">
        <v>200</v>
      </c>
      <c r="AC6" s="1" t="s">
        <v>201</v>
      </c>
      <c r="AD6" s="1" t="s">
        <v>202</v>
      </c>
      <c r="AE6" s="1" t="s">
        <v>203</v>
      </c>
      <c r="AF6" s="1" t="s">
        <v>74</v>
      </c>
      <c r="AG6" s="1">
        <v>150.0</v>
      </c>
      <c r="AH6" s="1">
        <v>195.0</v>
      </c>
      <c r="AI6" s="1">
        <v>211.0</v>
      </c>
      <c r="AJ6" s="1">
        <v>161.0</v>
      </c>
      <c r="AK6" s="1">
        <v>1239.0</v>
      </c>
      <c r="AL6" s="1" t="s">
        <v>204</v>
      </c>
      <c r="AM6" s="1" t="s">
        <v>205</v>
      </c>
      <c r="AN6" s="1" t="s">
        <v>206</v>
      </c>
      <c r="AO6" s="1" t="s">
        <v>207</v>
      </c>
      <c r="AP6" s="1" t="s">
        <v>208</v>
      </c>
      <c r="AQ6" s="1" t="s">
        <v>74</v>
      </c>
      <c r="AR6" s="1" t="s">
        <v>209</v>
      </c>
      <c r="AS6" s="1" t="s">
        <v>210</v>
      </c>
      <c r="AT6" s="1" t="s">
        <v>211</v>
      </c>
      <c r="AU6" s="1">
        <v>2023.0</v>
      </c>
      <c r="AV6" s="1">
        <v>55.0</v>
      </c>
      <c r="AW6" s="1" t="s">
        <v>74</v>
      </c>
      <c r="AX6" s="1" t="s">
        <v>74</v>
      </c>
      <c r="AY6" s="1" t="s">
        <v>74</v>
      </c>
      <c r="AZ6" s="1" t="s">
        <v>74</v>
      </c>
      <c r="BA6" s="1" t="s">
        <v>74</v>
      </c>
      <c r="BB6" s="1" t="s">
        <v>74</v>
      </c>
      <c r="BC6" s="1" t="s">
        <v>74</v>
      </c>
      <c r="BD6" s="1">
        <v>101876.0</v>
      </c>
      <c r="BE6" s="1" t="s">
        <v>212</v>
      </c>
      <c r="BF6" s="2" t="str">
        <f>HYPERLINK("http://dx.doi.org/10.1016/j.aei.2023.101876","http://dx.doi.org/10.1016/j.aei.2023.101876")</f>
        <v>http://dx.doi.org/10.1016/j.aei.2023.101876</v>
      </c>
      <c r="BG6" s="1" t="s">
        <v>74</v>
      </c>
      <c r="BH6" s="1" t="s">
        <v>213</v>
      </c>
      <c r="BI6" s="1">
        <v>18.0</v>
      </c>
      <c r="BJ6" s="1" t="s">
        <v>214</v>
      </c>
      <c r="BK6" s="1" t="s">
        <v>103</v>
      </c>
      <c r="BL6" s="1" t="s">
        <v>215</v>
      </c>
      <c r="BM6" s="1" t="s">
        <v>216</v>
      </c>
      <c r="BN6" s="1" t="s">
        <v>74</v>
      </c>
      <c r="BO6" s="1" t="s">
        <v>74</v>
      </c>
      <c r="BP6" s="1" t="s">
        <v>107</v>
      </c>
      <c r="BQ6" s="1" t="s">
        <v>108</v>
      </c>
      <c r="BR6" s="1" t="s">
        <v>109</v>
      </c>
      <c r="BS6" s="1" t="s">
        <v>217</v>
      </c>
      <c r="BT6" s="1" t="str">
        <f>HYPERLINK("https%3A%2F%2Fwww.webofscience.com%2Fwos%2Fwoscc%2Ffull-record%2FWOS:001032030200001","View Full Record in Web of Science")</f>
        <v>View Full Record in Web of Science</v>
      </c>
    </row>
    <row r="7" ht="12.75" customHeight="1">
      <c r="A7" s="1" t="s">
        <v>72</v>
      </c>
      <c r="B7" s="1" t="s">
        <v>218</v>
      </c>
      <c r="C7" s="1" t="s">
        <v>74</v>
      </c>
      <c r="D7" s="1" t="s">
        <v>74</v>
      </c>
      <c r="E7" s="1" t="s">
        <v>74</v>
      </c>
      <c r="F7" s="1" t="s">
        <v>219</v>
      </c>
      <c r="G7" s="1" t="s">
        <v>74</v>
      </c>
      <c r="H7" s="1" t="s">
        <v>74</v>
      </c>
      <c r="I7" s="1" t="s">
        <v>220</v>
      </c>
      <c r="J7" s="1" t="s">
        <v>114</v>
      </c>
      <c r="K7" s="1" t="s">
        <v>74</v>
      </c>
      <c r="L7" s="1" t="s">
        <v>74</v>
      </c>
      <c r="M7" s="1" t="s">
        <v>78</v>
      </c>
      <c r="N7" s="1" t="s">
        <v>79</v>
      </c>
      <c r="O7" s="1" t="s">
        <v>74</v>
      </c>
      <c r="P7" s="1" t="s">
        <v>74</v>
      </c>
      <c r="Q7" s="1" t="s">
        <v>74</v>
      </c>
      <c r="R7" s="1" t="s">
        <v>74</v>
      </c>
      <c r="S7" s="1" t="s">
        <v>74</v>
      </c>
      <c r="T7" s="1" t="s">
        <v>221</v>
      </c>
      <c r="U7" s="1" t="s">
        <v>222</v>
      </c>
      <c r="V7" s="1" t="s">
        <v>223</v>
      </c>
      <c r="W7" s="1" t="s">
        <v>224</v>
      </c>
      <c r="X7" s="1" t="s">
        <v>225</v>
      </c>
      <c r="Y7" s="1" t="s">
        <v>226</v>
      </c>
      <c r="Z7" s="1" t="s">
        <v>227</v>
      </c>
      <c r="AA7" s="1" t="s">
        <v>228</v>
      </c>
      <c r="AB7" s="1" t="s">
        <v>229</v>
      </c>
      <c r="AC7" s="1" t="s">
        <v>230</v>
      </c>
      <c r="AD7" s="1" t="s">
        <v>230</v>
      </c>
      <c r="AE7" s="1" t="s">
        <v>231</v>
      </c>
      <c r="AF7" s="1" t="s">
        <v>74</v>
      </c>
      <c r="AG7" s="1">
        <v>107.0</v>
      </c>
      <c r="AH7" s="1">
        <v>162.0</v>
      </c>
      <c r="AI7" s="1">
        <v>183.0</v>
      </c>
      <c r="AJ7" s="1">
        <v>7.0</v>
      </c>
      <c r="AK7" s="1">
        <v>176.0</v>
      </c>
      <c r="AL7" s="1" t="s">
        <v>92</v>
      </c>
      <c r="AM7" s="1" t="s">
        <v>93</v>
      </c>
      <c r="AN7" s="1" t="s">
        <v>94</v>
      </c>
      <c r="AO7" s="1" t="s">
        <v>127</v>
      </c>
      <c r="AP7" s="1" t="s">
        <v>128</v>
      </c>
      <c r="AQ7" s="1" t="s">
        <v>74</v>
      </c>
      <c r="AR7" s="1" t="s">
        <v>129</v>
      </c>
      <c r="AS7" s="1" t="s">
        <v>130</v>
      </c>
      <c r="AT7" s="1" t="s">
        <v>211</v>
      </c>
      <c r="AU7" s="1">
        <v>2022.0</v>
      </c>
      <c r="AV7" s="1">
        <v>134.0</v>
      </c>
      <c r="AW7" s="1" t="s">
        <v>74</v>
      </c>
      <c r="AX7" s="1" t="s">
        <v>74</v>
      </c>
      <c r="AY7" s="1" t="s">
        <v>74</v>
      </c>
      <c r="AZ7" s="1" t="s">
        <v>74</v>
      </c>
      <c r="BA7" s="1" t="s">
        <v>74</v>
      </c>
      <c r="BB7" s="1" t="s">
        <v>74</v>
      </c>
      <c r="BC7" s="1" t="s">
        <v>74</v>
      </c>
      <c r="BD7" s="1">
        <v>103558.0</v>
      </c>
      <c r="BE7" s="1" t="s">
        <v>232</v>
      </c>
      <c r="BF7" s="2" t="str">
        <f>HYPERLINK("http://dx.doi.org/10.1016/j.compind.2021.103558","http://dx.doi.org/10.1016/j.compind.2021.103558")</f>
        <v>http://dx.doi.org/10.1016/j.compind.2021.103558</v>
      </c>
      <c r="BG7" s="1" t="s">
        <v>74</v>
      </c>
      <c r="BH7" s="1" t="s">
        <v>74</v>
      </c>
      <c r="BI7" s="1">
        <v>16.0</v>
      </c>
      <c r="BJ7" s="1" t="s">
        <v>134</v>
      </c>
      <c r="BK7" s="1" t="s">
        <v>103</v>
      </c>
      <c r="BL7" s="1" t="s">
        <v>135</v>
      </c>
      <c r="BM7" s="1" t="s">
        <v>233</v>
      </c>
      <c r="BN7" s="1" t="s">
        <v>74</v>
      </c>
      <c r="BO7" s="1" t="s">
        <v>234</v>
      </c>
      <c r="BP7" s="1" t="s">
        <v>107</v>
      </c>
      <c r="BQ7" s="1" t="s">
        <v>108</v>
      </c>
      <c r="BR7" s="1" t="s">
        <v>109</v>
      </c>
      <c r="BS7" s="1" t="s">
        <v>235</v>
      </c>
      <c r="BT7" s="1" t="str">
        <f>HYPERLINK("https%3A%2F%2Fwww.webofscience.com%2Fwos%2Fwoscc%2Ffull-record%2FWOS:000820899900007","View Full Record in Web of Science")</f>
        <v>View Full Record in Web of Science</v>
      </c>
    </row>
    <row r="8" ht="12.75" customHeight="1">
      <c r="A8" s="1" t="s">
        <v>72</v>
      </c>
      <c r="B8" s="1" t="s">
        <v>236</v>
      </c>
      <c r="C8" s="1" t="s">
        <v>74</v>
      </c>
      <c r="D8" s="1" t="s">
        <v>74</v>
      </c>
      <c r="E8" s="1" t="s">
        <v>74</v>
      </c>
      <c r="F8" s="1" t="s">
        <v>237</v>
      </c>
      <c r="G8" s="1" t="s">
        <v>74</v>
      </c>
      <c r="H8" s="1" t="s">
        <v>74</v>
      </c>
      <c r="I8" s="1" t="s">
        <v>238</v>
      </c>
      <c r="J8" s="1" t="s">
        <v>239</v>
      </c>
      <c r="K8" s="1" t="s">
        <v>74</v>
      </c>
      <c r="L8" s="1" t="s">
        <v>74</v>
      </c>
      <c r="M8" s="1" t="s">
        <v>78</v>
      </c>
      <c r="N8" s="1" t="s">
        <v>79</v>
      </c>
      <c r="O8" s="1" t="s">
        <v>74</v>
      </c>
      <c r="P8" s="1" t="s">
        <v>74</v>
      </c>
      <c r="Q8" s="1" t="s">
        <v>74</v>
      </c>
      <c r="R8" s="1" t="s">
        <v>74</v>
      </c>
      <c r="S8" s="1" t="s">
        <v>74</v>
      </c>
      <c r="T8" s="1" t="s">
        <v>240</v>
      </c>
      <c r="U8" s="1" t="s">
        <v>241</v>
      </c>
      <c r="V8" s="1" t="s">
        <v>242</v>
      </c>
      <c r="W8" s="1" t="s">
        <v>243</v>
      </c>
      <c r="X8" s="1" t="s">
        <v>244</v>
      </c>
      <c r="Y8" s="1" t="s">
        <v>245</v>
      </c>
      <c r="Z8" s="1" t="s">
        <v>246</v>
      </c>
      <c r="AA8" s="1" t="s">
        <v>247</v>
      </c>
      <c r="AB8" s="1" t="s">
        <v>248</v>
      </c>
      <c r="AC8" s="1" t="s">
        <v>249</v>
      </c>
      <c r="AD8" s="1" t="s">
        <v>250</v>
      </c>
      <c r="AE8" s="1" t="s">
        <v>251</v>
      </c>
      <c r="AF8" s="1" t="s">
        <v>74</v>
      </c>
      <c r="AG8" s="1">
        <v>142.0</v>
      </c>
      <c r="AH8" s="1">
        <v>126.0</v>
      </c>
      <c r="AI8" s="1">
        <v>138.0</v>
      </c>
      <c r="AJ8" s="1">
        <v>45.0</v>
      </c>
      <c r="AK8" s="1">
        <v>167.0</v>
      </c>
      <c r="AL8" s="1" t="s">
        <v>92</v>
      </c>
      <c r="AM8" s="1" t="s">
        <v>93</v>
      </c>
      <c r="AN8" s="1" t="s">
        <v>94</v>
      </c>
      <c r="AO8" s="1" t="s">
        <v>252</v>
      </c>
      <c r="AP8" s="1" t="s">
        <v>253</v>
      </c>
      <c r="AQ8" s="1" t="s">
        <v>74</v>
      </c>
      <c r="AR8" s="1" t="s">
        <v>254</v>
      </c>
      <c r="AS8" s="1" t="s">
        <v>255</v>
      </c>
      <c r="AT8" s="1" t="s">
        <v>256</v>
      </c>
      <c r="AU8" s="1">
        <v>2023.0</v>
      </c>
      <c r="AV8" s="1">
        <v>99.0</v>
      </c>
      <c r="AW8" s="1" t="s">
        <v>74</v>
      </c>
      <c r="AX8" s="1" t="s">
        <v>74</v>
      </c>
      <c r="AY8" s="1" t="s">
        <v>74</v>
      </c>
      <c r="AZ8" s="1" t="s">
        <v>74</v>
      </c>
      <c r="BA8" s="1" t="s">
        <v>74</v>
      </c>
      <c r="BB8" s="1" t="s">
        <v>74</v>
      </c>
      <c r="BC8" s="1" t="s">
        <v>74</v>
      </c>
      <c r="BD8" s="1">
        <v>104862.0</v>
      </c>
      <c r="BE8" s="1" t="s">
        <v>257</v>
      </c>
      <c r="BF8" s="2" t="str">
        <f>HYPERLINK("http://dx.doi.org/10.1016/j.scs.2023.104862","http://dx.doi.org/10.1016/j.scs.2023.104862")</f>
        <v>http://dx.doi.org/10.1016/j.scs.2023.104862</v>
      </c>
      <c r="BG8" s="1" t="s">
        <v>74</v>
      </c>
      <c r="BH8" s="1" t="s">
        <v>258</v>
      </c>
      <c r="BI8" s="1">
        <v>15.0</v>
      </c>
      <c r="BJ8" s="1" t="s">
        <v>259</v>
      </c>
      <c r="BK8" s="1" t="s">
        <v>103</v>
      </c>
      <c r="BL8" s="1" t="s">
        <v>260</v>
      </c>
      <c r="BM8" s="1" t="s">
        <v>261</v>
      </c>
      <c r="BN8" s="1" t="s">
        <v>74</v>
      </c>
      <c r="BO8" s="1" t="s">
        <v>137</v>
      </c>
      <c r="BP8" s="1" t="s">
        <v>107</v>
      </c>
      <c r="BQ8" s="1" t="s">
        <v>108</v>
      </c>
      <c r="BR8" s="1" t="s">
        <v>109</v>
      </c>
      <c r="BS8" s="1" t="s">
        <v>262</v>
      </c>
      <c r="BT8" s="1" t="str">
        <f>HYPERLINK("https%3A%2F%2Fwww.webofscience.com%2Fwos%2Fwoscc%2Ffull-record%2FWOS:001069583500001","View Full Record in Web of Science")</f>
        <v>View Full Record in Web of Science</v>
      </c>
    </row>
    <row r="9" ht="12.75" customHeight="1">
      <c r="A9" s="1" t="s">
        <v>72</v>
      </c>
      <c r="B9" s="1" t="s">
        <v>263</v>
      </c>
      <c r="C9" s="1" t="s">
        <v>74</v>
      </c>
      <c r="D9" s="1" t="s">
        <v>74</v>
      </c>
      <c r="E9" s="1" t="s">
        <v>74</v>
      </c>
      <c r="F9" s="1" t="s">
        <v>264</v>
      </c>
      <c r="G9" s="1" t="s">
        <v>74</v>
      </c>
      <c r="H9" s="1" t="s">
        <v>74</v>
      </c>
      <c r="I9" s="1" t="s">
        <v>265</v>
      </c>
      <c r="J9" s="1" t="s">
        <v>266</v>
      </c>
      <c r="K9" s="1" t="s">
        <v>74</v>
      </c>
      <c r="L9" s="1" t="s">
        <v>74</v>
      </c>
      <c r="M9" s="1" t="s">
        <v>78</v>
      </c>
      <c r="N9" s="1" t="s">
        <v>79</v>
      </c>
      <c r="O9" s="1" t="s">
        <v>74</v>
      </c>
      <c r="P9" s="1" t="s">
        <v>74</v>
      </c>
      <c r="Q9" s="1" t="s">
        <v>74</v>
      </c>
      <c r="R9" s="1" t="s">
        <v>74</v>
      </c>
      <c r="S9" s="1" t="s">
        <v>74</v>
      </c>
      <c r="T9" s="1" t="s">
        <v>267</v>
      </c>
      <c r="U9" s="1" t="s">
        <v>268</v>
      </c>
      <c r="V9" s="1" t="s">
        <v>269</v>
      </c>
      <c r="W9" s="1" t="s">
        <v>270</v>
      </c>
      <c r="X9" s="1" t="s">
        <v>271</v>
      </c>
      <c r="Y9" s="1" t="s">
        <v>272</v>
      </c>
      <c r="Z9" s="1" t="s">
        <v>273</v>
      </c>
      <c r="AA9" s="1" t="s">
        <v>274</v>
      </c>
      <c r="AB9" s="1" t="s">
        <v>275</v>
      </c>
      <c r="AC9" s="1" t="s">
        <v>276</v>
      </c>
      <c r="AD9" s="1" t="s">
        <v>277</v>
      </c>
      <c r="AE9" s="1" t="s">
        <v>278</v>
      </c>
      <c r="AF9" s="1" t="s">
        <v>74</v>
      </c>
      <c r="AG9" s="1">
        <v>125.0</v>
      </c>
      <c r="AH9" s="1">
        <v>101.0</v>
      </c>
      <c r="AI9" s="1">
        <v>107.0</v>
      </c>
      <c r="AJ9" s="1">
        <v>25.0</v>
      </c>
      <c r="AK9" s="1">
        <v>201.0</v>
      </c>
      <c r="AL9" s="1" t="s">
        <v>92</v>
      </c>
      <c r="AM9" s="1" t="s">
        <v>93</v>
      </c>
      <c r="AN9" s="1" t="s">
        <v>94</v>
      </c>
      <c r="AO9" s="1" t="s">
        <v>279</v>
      </c>
      <c r="AP9" s="1" t="s">
        <v>280</v>
      </c>
      <c r="AQ9" s="1" t="s">
        <v>74</v>
      </c>
      <c r="AR9" s="1" t="s">
        <v>281</v>
      </c>
      <c r="AS9" s="1" t="s">
        <v>282</v>
      </c>
      <c r="AT9" s="1" t="s">
        <v>283</v>
      </c>
      <c r="AU9" s="1">
        <v>2023.0</v>
      </c>
      <c r="AV9" s="1">
        <v>147.0</v>
      </c>
      <c r="AW9" s="1" t="s">
        <v>74</v>
      </c>
      <c r="AX9" s="1" t="s">
        <v>74</v>
      </c>
      <c r="AY9" s="1" t="s">
        <v>74</v>
      </c>
      <c r="AZ9" s="1" t="s">
        <v>74</v>
      </c>
      <c r="BA9" s="1" t="s">
        <v>74</v>
      </c>
      <c r="BB9" s="1" t="s">
        <v>74</v>
      </c>
      <c r="BC9" s="1" t="s">
        <v>74</v>
      </c>
      <c r="BD9" s="1">
        <v>104716.0</v>
      </c>
      <c r="BE9" s="1" t="s">
        <v>284</v>
      </c>
      <c r="BF9" s="2" t="str">
        <f>HYPERLINK("http://dx.doi.org/10.1016/j.autcon.2022.104716","http://dx.doi.org/10.1016/j.autcon.2022.104716")</f>
        <v>http://dx.doi.org/10.1016/j.autcon.2022.104716</v>
      </c>
      <c r="BG9" s="1" t="s">
        <v>74</v>
      </c>
      <c r="BH9" s="1" t="s">
        <v>213</v>
      </c>
      <c r="BI9" s="1">
        <v>15.0</v>
      </c>
      <c r="BJ9" s="1" t="s">
        <v>285</v>
      </c>
      <c r="BK9" s="1" t="s">
        <v>103</v>
      </c>
      <c r="BL9" s="1" t="s">
        <v>286</v>
      </c>
      <c r="BM9" s="1" t="s">
        <v>287</v>
      </c>
      <c r="BN9" s="1" t="s">
        <v>74</v>
      </c>
      <c r="BO9" s="1" t="s">
        <v>234</v>
      </c>
      <c r="BP9" s="1" t="s">
        <v>107</v>
      </c>
      <c r="BQ9" s="1" t="s">
        <v>108</v>
      </c>
      <c r="BR9" s="1" t="s">
        <v>109</v>
      </c>
      <c r="BS9" s="1" t="s">
        <v>288</v>
      </c>
      <c r="BT9" s="1" t="str">
        <f>HYPERLINK("https%3A%2F%2Fwww.webofscience.com%2Fwos%2Fwoscc%2Ffull-record%2FWOS:000921513800001","View Full Record in Web of Science")</f>
        <v>View Full Record in Web of Science</v>
      </c>
    </row>
    <row r="10" ht="12.75" customHeight="1">
      <c r="A10" s="1" t="s">
        <v>72</v>
      </c>
      <c r="B10" s="1" t="s">
        <v>289</v>
      </c>
      <c r="C10" s="1" t="s">
        <v>74</v>
      </c>
      <c r="D10" s="1" t="s">
        <v>74</v>
      </c>
      <c r="E10" s="1" t="s">
        <v>74</v>
      </c>
      <c r="F10" s="1" t="s">
        <v>290</v>
      </c>
      <c r="G10" s="1" t="s">
        <v>74</v>
      </c>
      <c r="H10" s="1" t="s">
        <v>74</v>
      </c>
      <c r="I10" s="1" t="s">
        <v>291</v>
      </c>
      <c r="J10" s="1" t="s">
        <v>292</v>
      </c>
      <c r="K10" s="1" t="s">
        <v>74</v>
      </c>
      <c r="L10" s="1" t="s">
        <v>74</v>
      </c>
      <c r="M10" s="1" t="s">
        <v>78</v>
      </c>
      <c r="N10" s="1" t="s">
        <v>79</v>
      </c>
      <c r="O10" s="1" t="s">
        <v>74</v>
      </c>
      <c r="P10" s="1" t="s">
        <v>74</v>
      </c>
      <c r="Q10" s="1" t="s">
        <v>74</v>
      </c>
      <c r="R10" s="1" t="s">
        <v>74</v>
      </c>
      <c r="S10" s="1" t="s">
        <v>74</v>
      </c>
      <c r="T10" s="1" t="s">
        <v>293</v>
      </c>
      <c r="U10" s="1" t="s">
        <v>294</v>
      </c>
      <c r="V10" s="1" t="s">
        <v>295</v>
      </c>
      <c r="W10" s="1" t="s">
        <v>296</v>
      </c>
      <c r="X10" s="1" t="s">
        <v>297</v>
      </c>
      <c r="Y10" s="1" t="s">
        <v>298</v>
      </c>
      <c r="Z10" s="1" t="s">
        <v>299</v>
      </c>
      <c r="AA10" s="1" t="s">
        <v>300</v>
      </c>
      <c r="AB10" s="1" t="s">
        <v>301</v>
      </c>
      <c r="AC10" s="1" t="s">
        <v>74</v>
      </c>
      <c r="AD10" s="1" t="s">
        <v>74</v>
      </c>
      <c r="AE10" s="1" t="s">
        <v>74</v>
      </c>
      <c r="AF10" s="1" t="s">
        <v>74</v>
      </c>
      <c r="AG10" s="1">
        <v>208.0</v>
      </c>
      <c r="AH10" s="1">
        <v>68.0</v>
      </c>
      <c r="AI10" s="1">
        <v>78.0</v>
      </c>
      <c r="AJ10" s="1">
        <v>49.0</v>
      </c>
      <c r="AK10" s="1">
        <v>137.0</v>
      </c>
      <c r="AL10" s="1" t="s">
        <v>92</v>
      </c>
      <c r="AM10" s="1" t="s">
        <v>93</v>
      </c>
      <c r="AN10" s="1" t="s">
        <v>94</v>
      </c>
      <c r="AO10" s="1" t="s">
        <v>302</v>
      </c>
      <c r="AP10" s="1" t="s">
        <v>74</v>
      </c>
      <c r="AQ10" s="1" t="s">
        <v>74</v>
      </c>
      <c r="AR10" s="1" t="s">
        <v>303</v>
      </c>
      <c r="AS10" s="1" t="s">
        <v>304</v>
      </c>
      <c r="AT10" s="1" t="s">
        <v>305</v>
      </c>
      <c r="AU10" s="1">
        <v>2024.0</v>
      </c>
      <c r="AV10" s="1">
        <v>20.0</v>
      </c>
      <c r="AW10" s="1" t="s">
        <v>74</v>
      </c>
      <c r="AX10" s="1" t="s">
        <v>74</v>
      </c>
      <c r="AY10" s="1" t="s">
        <v>74</v>
      </c>
      <c r="AZ10" s="1" t="s">
        <v>74</v>
      </c>
      <c r="BA10" s="1" t="s">
        <v>74</v>
      </c>
      <c r="BB10" s="1" t="s">
        <v>74</v>
      </c>
      <c r="BC10" s="1" t="s">
        <v>74</v>
      </c>
      <c r="BD10" s="1">
        <v>100433.0</v>
      </c>
      <c r="BE10" s="1" t="s">
        <v>306</v>
      </c>
      <c r="BF10" s="2" t="str">
        <f>HYPERLINK("http://dx.doi.org/10.1016/j.ese.2024.100433","http://dx.doi.org/10.1016/j.ese.2024.100433")</f>
        <v>http://dx.doi.org/10.1016/j.ese.2024.100433</v>
      </c>
      <c r="BG10" s="1" t="s">
        <v>74</v>
      </c>
      <c r="BH10" s="1" t="s">
        <v>307</v>
      </c>
      <c r="BI10" s="1">
        <v>26.0</v>
      </c>
      <c r="BJ10" s="1" t="s">
        <v>308</v>
      </c>
      <c r="BK10" s="1" t="s">
        <v>103</v>
      </c>
      <c r="BL10" s="1" t="s">
        <v>309</v>
      </c>
      <c r="BM10" s="1" t="s">
        <v>310</v>
      </c>
      <c r="BN10" s="1">
        <v>3.8831974E7</v>
      </c>
      <c r="BO10" s="1" t="s">
        <v>162</v>
      </c>
      <c r="BP10" s="1" t="s">
        <v>107</v>
      </c>
      <c r="BQ10" s="1" t="s">
        <v>108</v>
      </c>
      <c r="BR10" s="1" t="s">
        <v>109</v>
      </c>
      <c r="BS10" s="1" t="s">
        <v>311</v>
      </c>
      <c r="BT10" s="1" t="str">
        <f>HYPERLINK("https%3A%2F%2Fwww.webofscience.com%2Fwos%2Fwoscc%2Ffull-record%2FWOS:001245213400001","View Full Record in Web of Science")</f>
        <v>View Full Record in Web of Science</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3.0"/>
  </cols>
  <sheetData>
    <row r="1">
      <c r="A1" s="3" t="s">
        <v>312</v>
      </c>
      <c r="B1" s="3" t="s">
        <v>56</v>
      </c>
      <c r="C1" s="3" t="s">
        <v>313</v>
      </c>
      <c r="D1" s="3" t="s">
        <v>314</v>
      </c>
    </row>
    <row r="2">
      <c r="A2" s="3" t="s">
        <v>315</v>
      </c>
      <c r="B2" s="4" t="str">
        <f>'1_20251104.wos'!BF2</f>
        <v>http://dx.doi.org/10.1016/j.cirpj.2020.02.002</v>
      </c>
      <c r="C2" s="5" t="str">
        <f>'1_20251104.wos'!I2</f>
        <v>Characterising the Digital Twin: A systematic literature review</v>
      </c>
    </row>
    <row r="3">
      <c r="A3" s="3" t="s">
        <v>316</v>
      </c>
      <c r="B3" s="4" t="str">
        <f>'1_20251104.wos'!BF3</f>
        <v>http://dx.doi.org/10.1016/j.compind.2021.103469</v>
      </c>
      <c r="C3" s="5" t="str">
        <f>'1_20251104.wos'!I3</f>
        <v>Digital twin paradigm: A systematic literature review</v>
      </c>
    </row>
    <row r="4">
      <c r="A4" s="3" t="s">
        <v>317</v>
      </c>
      <c r="B4" s="4" t="str">
        <f>'1_20251104.wos'!BF4</f>
        <v>http://dx.doi.org/10.1109/ACCESS.2021.3060863</v>
      </c>
      <c r="C4" s="5" t="str">
        <f>'1_20251104.wos'!I4</f>
        <v>The Role of AI, Machine Learning, and Big Data in Digital Twinning: A Systematic Literature Review, Challenges, and Opportunities</v>
      </c>
    </row>
    <row r="5">
      <c r="A5" s="3" t="s">
        <v>318</v>
      </c>
      <c r="B5" s="4" t="str">
        <f>'1_20251104.wos'!BF5</f>
        <v>http://dx.doi.org/10.1016/j.infsof.2022.107008</v>
      </c>
      <c r="C5" s="5" t="str">
        <f>'1_20251104.wos'!I5</f>
        <v>Predictive maintenance using digital twins: A systematic literature review</v>
      </c>
    </row>
    <row r="6">
      <c r="A6" s="3" t="s">
        <v>319</v>
      </c>
      <c r="B6" s="4" t="str">
        <f>'1_20251104.wos'!BF6</f>
        <v>http://dx.doi.org/10.1016/j.aei.2023.101876</v>
      </c>
      <c r="C6" s="5" t="str">
        <f>'1_20251104.wos'!I6</f>
        <v>A systematic review of digital twin about physical entities, virtual models, twin data, and applications</v>
      </c>
    </row>
    <row r="7">
      <c r="A7" s="3" t="s">
        <v>320</v>
      </c>
      <c r="B7" s="4" t="str">
        <f>'1_20251104.wos'!BF7</f>
        <v>http://dx.doi.org/10.1016/j.compind.2021.103558</v>
      </c>
      <c r="C7" s="5" t="str">
        <f>'1_20251104.wos'!I7</f>
        <v>Implementation of digital twins in the process industry: A systematic literature review of enablers and barriers</v>
      </c>
    </row>
    <row r="8">
      <c r="A8" s="3" t="s">
        <v>321</v>
      </c>
      <c r="B8" s="4" t="str">
        <f>'1_20251104.wos'!BF8</f>
        <v>http://dx.doi.org/10.1016/j.scs.2023.104862</v>
      </c>
      <c r="C8" s="5" t="str">
        <f>'1_20251104.wos'!I8</f>
        <v>Urban Digital Twin Challenges: A Systematic Review and Perspectives for Sustainable Smart Cities</v>
      </c>
    </row>
    <row r="9">
      <c r="A9" s="3" t="s">
        <v>322</v>
      </c>
      <c r="B9" s="4" t="str">
        <f>'1_20251104.wos'!BF9</f>
        <v>http://dx.doi.org/10.1016/j.autcon.2022.104716</v>
      </c>
      <c r="C9" s="5" t="str">
        <f>'1_20251104.wos'!I9</f>
        <v>Challenges of urban digital twins: A systematic review and a Delphi expert survey</v>
      </c>
    </row>
    <row r="10">
      <c r="A10" s="3" t="s">
        <v>323</v>
      </c>
      <c r="B10" s="4" t="str">
        <f>'1_20251104.wos'!BF10</f>
        <v>http://dx.doi.org/10.1016/j.ese.2024.100433</v>
      </c>
      <c r="C10" s="5" t="str">
        <f>'1_20251104.wos'!I10</f>
        <v>The synergistic interplay of artificial intelligence and digital twin in environmentally planning sustainable smart cities: A comprehensive systematic review</v>
      </c>
    </row>
    <row r="11">
      <c r="C11" s="5" t="str">
        <f>'1_20251104.wos'!I11</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88"/>
    <col customWidth="1" min="3" max="11" width="5.88"/>
    <col customWidth="1" min="12" max="12" width="4.5"/>
    <col customWidth="1" min="13" max="13" width="9.0"/>
  </cols>
  <sheetData>
    <row r="1">
      <c r="A1" s="3" t="s">
        <v>324</v>
      </c>
      <c r="B1" s="3" t="s">
        <v>325</v>
      </c>
      <c r="C1" s="3" t="str">
        <f>'1_20251104.wos.table'!A2</f>
        <v>DT.DBQ1.01</v>
      </c>
      <c r="D1" s="3" t="str">
        <f>'1_20251104.wos.table'!A3</f>
        <v>DT.DBQ1.02</v>
      </c>
      <c r="E1" s="3" t="str">
        <f>'1_20251104.wos.table'!A4</f>
        <v>DT.DBQ1.03</v>
      </c>
      <c r="F1" s="3" t="str">
        <f>'1_20251104.wos.table'!A5</f>
        <v>DT.DBQ1.04</v>
      </c>
      <c r="G1" s="3" t="str">
        <f>'1_20251104.wos.table'!A6</f>
        <v>DT.DBQ1.05</v>
      </c>
      <c r="H1" s="3" t="str">
        <f>'1_20251104.wos.table'!A7</f>
        <v>DT.DBQ1.06</v>
      </c>
      <c r="I1" s="3" t="str">
        <f>'1_20251104.wos.table'!A8</f>
        <v>DT.DBQ1.07</v>
      </c>
      <c r="J1" s="3" t="str">
        <f>'1_20251104.wos.table'!A9</f>
        <v>DT.DBQ1.08</v>
      </c>
      <c r="K1" s="3" t="str">
        <f>'1_20251104.wos.table'!A10</f>
        <v>DT.DBQ1.09</v>
      </c>
      <c r="L1" s="3" t="s">
        <v>326</v>
      </c>
      <c r="M1" s="3" t="s">
        <v>327</v>
      </c>
      <c r="N1" s="3" t="s">
        <v>328</v>
      </c>
      <c r="O1" s="6" t="s">
        <v>327</v>
      </c>
    </row>
    <row r="2">
      <c r="A2" s="3" t="s">
        <v>329</v>
      </c>
      <c r="B2" s="3">
        <v>1.0</v>
      </c>
      <c r="D2" s="3">
        <v>1.0</v>
      </c>
      <c r="E2" s="3">
        <v>1.0</v>
      </c>
      <c r="F2" s="3">
        <v>1.0</v>
      </c>
      <c r="G2" s="3">
        <v>1.0</v>
      </c>
      <c r="H2" s="3">
        <v>1.0</v>
      </c>
      <c r="I2" s="3">
        <v>1.0</v>
      </c>
      <c r="K2" s="3">
        <v>1.0</v>
      </c>
      <c r="L2" s="5">
        <f t="shared" ref="L2:L17" si="1">SUM(C2:K2)</f>
        <v>7</v>
      </c>
      <c r="M2" s="7">
        <f t="shared" ref="M2:M17" si="2">L2/$L$18</f>
        <v>0.1842105263</v>
      </c>
      <c r="N2" s="7">
        <f>M2</f>
        <v>0.1842105263</v>
      </c>
      <c r="O2" s="7">
        <f>1/B17</f>
        <v>0.0625</v>
      </c>
    </row>
    <row r="3">
      <c r="A3" s="3" t="s">
        <v>330</v>
      </c>
      <c r="B3" s="5">
        <f t="shared" ref="B3:B17" si="3">B2+1</f>
        <v>2</v>
      </c>
      <c r="D3" s="3">
        <v>1.0</v>
      </c>
      <c r="E3" s="3">
        <v>1.0</v>
      </c>
      <c r="F3" s="3">
        <v>1.0</v>
      </c>
      <c r="I3" s="3">
        <v>1.0</v>
      </c>
      <c r="K3" s="3">
        <v>1.0</v>
      </c>
      <c r="L3" s="5">
        <f t="shared" si="1"/>
        <v>5</v>
      </c>
      <c r="M3" s="7">
        <f t="shared" si="2"/>
        <v>0.1315789474</v>
      </c>
      <c r="N3" s="7">
        <f t="shared" ref="N3:N17" si="4">N2+M3</f>
        <v>0.3157894737</v>
      </c>
      <c r="O3" s="7">
        <f t="shared" ref="O3:O17" si="5">O2+1/$B$17</f>
        <v>0.125</v>
      </c>
    </row>
    <row r="4">
      <c r="A4" s="3" t="s">
        <v>331</v>
      </c>
      <c r="B4" s="5">
        <f t="shared" si="3"/>
        <v>3</v>
      </c>
      <c r="E4" s="3">
        <v>1.0</v>
      </c>
      <c r="F4" s="3">
        <v>1.0</v>
      </c>
      <c r="G4" s="3">
        <v>1.0</v>
      </c>
      <c r="H4" s="3">
        <v>1.0</v>
      </c>
      <c r="L4" s="5">
        <f t="shared" si="1"/>
        <v>4</v>
      </c>
      <c r="M4" s="7">
        <f t="shared" si="2"/>
        <v>0.1052631579</v>
      </c>
      <c r="N4" s="7">
        <f t="shared" si="4"/>
        <v>0.4210526316</v>
      </c>
      <c r="O4" s="7">
        <f t="shared" si="5"/>
        <v>0.1875</v>
      </c>
    </row>
    <row r="5">
      <c r="A5" s="3" t="s">
        <v>332</v>
      </c>
      <c r="B5" s="5">
        <f t="shared" si="3"/>
        <v>4</v>
      </c>
      <c r="E5" s="3">
        <v>1.0</v>
      </c>
      <c r="F5" s="3">
        <v>1.0</v>
      </c>
      <c r="H5" s="3">
        <v>1.0</v>
      </c>
      <c r="L5" s="5">
        <f t="shared" si="1"/>
        <v>3</v>
      </c>
      <c r="M5" s="7">
        <f t="shared" si="2"/>
        <v>0.07894736842</v>
      </c>
      <c r="N5" s="7">
        <f t="shared" si="4"/>
        <v>0.5</v>
      </c>
      <c r="O5" s="7">
        <f t="shared" si="5"/>
        <v>0.25</v>
      </c>
    </row>
    <row r="6">
      <c r="A6" s="3" t="s">
        <v>333</v>
      </c>
      <c r="B6" s="5">
        <f t="shared" si="3"/>
        <v>5</v>
      </c>
      <c r="E6" s="3">
        <v>1.0</v>
      </c>
      <c r="F6" s="3">
        <v>1.0</v>
      </c>
      <c r="G6" s="3">
        <v>1.0</v>
      </c>
      <c r="L6" s="5">
        <f t="shared" si="1"/>
        <v>3</v>
      </c>
      <c r="M6" s="7">
        <f t="shared" si="2"/>
        <v>0.07894736842</v>
      </c>
      <c r="N6" s="7">
        <f t="shared" si="4"/>
        <v>0.5789473684</v>
      </c>
      <c r="O6" s="7">
        <f t="shared" si="5"/>
        <v>0.3125</v>
      </c>
    </row>
    <row r="7">
      <c r="A7" s="3" t="s">
        <v>334</v>
      </c>
      <c r="B7" s="5">
        <f t="shared" si="3"/>
        <v>6</v>
      </c>
      <c r="H7" s="3">
        <v>1.0</v>
      </c>
      <c r="I7" s="3">
        <v>1.0</v>
      </c>
      <c r="K7" s="3">
        <v>1.0</v>
      </c>
      <c r="L7" s="5">
        <f t="shared" si="1"/>
        <v>3</v>
      </c>
      <c r="M7" s="7">
        <f t="shared" si="2"/>
        <v>0.07894736842</v>
      </c>
      <c r="N7" s="7">
        <f t="shared" si="4"/>
        <v>0.6578947368</v>
      </c>
      <c r="O7" s="7">
        <f t="shared" si="5"/>
        <v>0.375</v>
      </c>
    </row>
    <row r="8">
      <c r="A8" s="3" t="s">
        <v>335</v>
      </c>
      <c r="B8" s="5">
        <f t="shared" si="3"/>
        <v>7</v>
      </c>
      <c r="E8" s="3">
        <v>1.0</v>
      </c>
      <c r="F8" s="3">
        <v>1.0</v>
      </c>
      <c r="L8" s="5">
        <f t="shared" si="1"/>
        <v>2</v>
      </c>
      <c r="M8" s="7">
        <f t="shared" si="2"/>
        <v>0.05263157895</v>
      </c>
      <c r="N8" s="7">
        <f t="shared" si="4"/>
        <v>0.7105263158</v>
      </c>
      <c r="O8" s="7">
        <f t="shared" si="5"/>
        <v>0.4375</v>
      </c>
    </row>
    <row r="9">
      <c r="A9" s="3" t="s">
        <v>336</v>
      </c>
      <c r="B9" s="5">
        <f t="shared" si="3"/>
        <v>8</v>
      </c>
      <c r="E9" s="3">
        <v>1.0</v>
      </c>
      <c r="F9" s="3">
        <v>1.0</v>
      </c>
      <c r="L9" s="5">
        <f t="shared" si="1"/>
        <v>2</v>
      </c>
      <c r="M9" s="7">
        <f t="shared" si="2"/>
        <v>0.05263157895</v>
      </c>
      <c r="N9" s="7">
        <f t="shared" si="4"/>
        <v>0.7631578947</v>
      </c>
      <c r="O9" s="7">
        <f t="shared" si="5"/>
        <v>0.5</v>
      </c>
    </row>
    <row r="10">
      <c r="A10" s="3" t="s">
        <v>337</v>
      </c>
      <c r="B10" s="5">
        <f t="shared" si="3"/>
        <v>9</v>
      </c>
      <c r="G10" s="3">
        <v>1.0</v>
      </c>
      <c r="I10" s="3">
        <v>1.0</v>
      </c>
      <c r="L10" s="5">
        <f t="shared" si="1"/>
        <v>2</v>
      </c>
      <c r="M10" s="7">
        <f t="shared" si="2"/>
        <v>0.05263157895</v>
      </c>
      <c r="N10" s="7">
        <f t="shared" si="4"/>
        <v>0.8157894737</v>
      </c>
      <c r="O10" s="7">
        <f t="shared" si="5"/>
        <v>0.5625</v>
      </c>
    </row>
    <row r="11">
      <c r="A11" s="3" t="s">
        <v>338</v>
      </c>
      <c r="B11" s="5">
        <f t="shared" si="3"/>
        <v>10</v>
      </c>
      <c r="C11" s="3">
        <v>1.0</v>
      </c>
      <c r="L11" s="5">
        <f t="shared" si="1"/>
        <v>1</v>
      </c>
      <c r="M11" s="7">
        <f t="shared" si="2"/>
        <v>0.02631578947</v>
      </c>
      <c r="N11" s="7">
        <f t="shared" si="4"/>
        <v>0.8421052632</v>
      </c>
      <c r="O11" s="7">
        <f t="shared" si="5"/>
        <v>0.625</v>
      </c>
    </row>
    <row r="12">
      <c r="A12" s="3" t="s">
        <v>339</v>
      </c>
      <c r="B12" s="5">
        <f t="shared" si="3"/>
        <v>11</v>
      </c>
      <c r="C12" s="3">
        <v>1.0</v>
      </c>
      <c r="L12" s="5">
        <f t="shared" si="1"/>
        <v>1</v>
      </c>
      <c r="M12" s="7">
        <f t="shared" si="2"/>
        <v>0.02631578947</v>
      </c>
      <c r="N12" s="7">
        <f t="shared" si="4"/>
        <v>0.8684210526</v>
      </c>
      <c r="O12" s="7">
        <f t="shared" si="5"/>
        <v>0.6875</v>
      </c>
    </row>
    <row r="13">
      <c r="A13" s="3" t="s">
        <v>340</v>
      </c>
      <c r="B13" s="5">
        <f t="shared" si="3"/>
        <v>12</v>
      </c>
      <c r="C13" s="3">
        <v>1.0</v>
      </c>
      <c r="L13" s="5">
        <f t="shared" si="1"/>
        <v>1</v>
      </c>
      <c r="M13" s="7">
        <f t="shared" si="2"/>
        <v>0.02631578947</v>
      </c>
      <c r="N13" s="7">
        <f t="shared" si="4"/>
        <v>0.8947368421</v>
      </c>
      <c r="O13" s="7">
        <f t="shared" si="5"/>
        <v>0.75</v>
      </c>
    </row>
    <row r="14">
      <c r="A14" s="3" t="s">
        <v>341</v>
      </c>
      <c r="B14" s="5">
        <f t="shared" si="3"/>
        <v>13</v>
      </c>
      <c r="C14" s="3">
        <v>1.0</v>
      </c>
      <c r="L14" s="5">
        <f t="shared" si="1"/>
        <v>1</v>
      </c>
      <c r="M14" s="7">
        <f t="shared" si="2"/>
        <v>0.02631578947</v>
      </c>
      <c r="N14" s="7">
        <f t="shared" si="4"/>
        <v>0.9210526316</v>
      </c>
      <c r="O14" s="7">
        <f t="shared" si="5"/>
        <v>0.8125</v>
      </c>
    </row>
    <row r="15">
      <c r="A15" s="3" t="s">
        <v>342</v>
      </c>
      <c r="B15" s="5">
        <f t="shared" si="3"/>
        <v>14</v>
      </c>
      <c r="C15" s="3">
        <v>1.0</v>
      </c>
      <c r="L15" s="5">
        <f t="shared" si="1"/>
        <v>1</v>
      </c>
      <c r="M15" s="7">
        <f t="shared" si="2"/>
        <v>0.02631578947</v>
      </c>
      <c r="N15" s="7">
        <f t="shared" si="4"/>
        <v>0.9473684211</v>
      </c>
      <c r="O15" s="7">
        <f t="shared" si="5"/>
        <v>0.875</v>
      </c>
    </row>
    <row r="16">
      <c r="A16" s="3" t="s">
        <v>343</v>
      </c>
      <c r="B16" s="5">
        <f t="shared" si="3"/>
        <v>15</v>
      </c>
      <c r="E16" s="3">
        <v>1.0</v>
      </c>
      <c r="L16" s="5">
        <f t="shared" si="1"/>
        <v>1</v>
      </c>
      <c r="M16" s="7">
        <f t="shared" si="2"/>
        <v>0.02631578947</v>
      </c>
      <c r="N16" s="7">
        <f t="shared" si="4"/>
        <v>0.9736842105</v>
      </c>
      <c r="O16" s="7">
        <f t="shared" si="5"/>
        <v>0.9375</v>
      </c>
    </row>
    <row r="17">
      <c r="A17" s="3" t="s">
        <v>344</v>
      </c>
      <c r="B17" s="5">
        <f t="shared" si="3"/>
        <v>16</v>
      </c>
      <c r="E17" s="3">
        <v>1.0</v>
      </c>
      <c r="L17" s="5">
        <f t="shared" si="1"/>
        <v>1</v>
      </c>
      <c r="M17" s="7">
        <f t="shared" si="2"/>
        <v>0.02631578947</v>
      </c>
      <c r="N17" s="7">
        <f t="shared" si="4"/>
        <v>1</v>
      </c>
      <c r="O17" s="7">
        <f t="shared" si="5"/>
        <v>1</v>
      </c>
    </row>
    <row r="18">
      <c r="A18" s="3" t="s">
        <v>326</v>
      </c>
      <c r="C18" s="5">
        <f t="shared" ref="C18:M18" si="6">SUM(C2:C17)</f>
        <v>5</v>
      </c>
      <c r="D18" s="5">
        <f t="shared" si="6"/>
        <v>2</v>
      </c>
      <c r="E18" s="5">
        <f t="shared" si="6"/>
        <v>9</v>
      </c>
      <c r="F18" s="5">
        <f t="shared" si="6"/>
        <v>7</v>
      </c>
      <c r="G18" s="5">
        <f t="shared" si="6"/>
        <v>4</v>
      </c>
      <c r="H18" s="5">
        <f t="shared" si="6"/>
        <v>4</v>
      </c>
      <c r="I18" s="5">
        <f t="shared" si="6"/>
        <v>4</v>
      </c>
      <c r="J18" s="5">
        <f t="shared" si="6"/>
        <v>0</v>
      </c>
      <c r="K18" s="5">
        <f t="shared" si="6"/>
        <v>3</v>
      </c>
      <c r="L18" s="5">
        <f t="shared" si="6"/>
        <v>38</v>
      </c>
      <c r="M18" s="7">
        <f t="shared" si="6"/>
        <v>1</v>
      </c>
      <c r="O18" s="7"/>
    </row>
    <row r="19">
      <c r="O19" s="7"/>
    </row>
    <row r="20">
      <c r="O20" s="7"/>
    </row>
    <row r="21">
      <c r="O21" s="7"/>
    </row>
    <row r="22">
      <c r="O22" s="7"/>
    </row>
    <row r="23">
      <c r="O23" s="7"/>
    </row>
    <row r="24">
      <c r="O24" s="7"/>
    </row>
    <row r="25">
      <c r="O25" s="7"/>
    </row>
    <row r="26">
      <c r="O26" s="7"/>
    </row>
    <row r="27">
      <c r="O27" s="7"/>
    </row>
    <row r="28">
      <c r="O28" s="7"/>
    </row>
    <row r="29">
      <c r="O29" s="7"/>
    </row>
    <row r="30">
      <c r="O30" s="7"/>
    </row>
    <row r="31">
      <c r="O31" s="7"/>
    </row>
    <row r="32">
      <c r="O32" s="7"/>
    </row>
    <row r="33">
      <c r="O33" s="7"/>
    </row>
    <row r="34">
      <c r="O34" s="7"/>
    </row>
    <row r="35">
      <c r="O35" s="7"/>
    </row>
    <row r="36">
      <c r="O36" s="7"/>
    </row>
    <row r="37">
      <c r="O37" s="7"/>
    </row>
    <row r="38">
      <c r="O38" s="7"/>
    </row>
    <row r="39">
      <c r="O39" s="7"/>
    </row>
    <row r="40">
      <c r="O40" s="7"/>
    </row>
    <row r="41">
      <c r="O41" s="7"/>
    </row>
    <row r="42">
      <c r="O42" s="7"/>
    </row>
    <row r="43">
      <c r="O43" s="7"/>
    </row>
    <row r="44">
      <c r="O44" s="7"/>
    </row>
    <row r="45">
      <c r="O45" s="7"/>
    </row>
    <row r="46">
      <c r="O46" s="7"/>
    </row>
    <row r="47">
      <c r="O47" s="7"/>
    </row>
    <row r="48">
      <c r="O48" s="7"/>
    </row>
    <row r="49">
      <c r="O49" s="7"/>
    </row>
    <row r="50">
      <c r="O50" s="7"/>
    </row>
    <row r="51">
      <c r="O51" s="7"/>
    </row>
    <row r="52">
      <c r="O52" s="7"/>
    </row>
    <row r="53">
      <c r="O53" s="7"/>
    </row>
    <row r="54">
      <c r="O54" s="7"/>
    </row>
    <row r="55">
      <c r="O55" s="7"/>
    </row>
    <row r="56">
      <c r="O56" s="7"/>
    </row>
    <row r="57">
      <c r="O57" s="7"/>
    </row>
    <row r="58">
      <c r="O58" s="7"/>
    </row>
    <row r="59">
      <c r="O59" s="7"/>
    </row>
    <row r="60">
      <c r="O60" s="7"/>
    </row>
    <row r="61">
      <c r="O61" s="7"/>
    </row>
    <row r="62">
      <c r="O62" s="7"/>
    </row>
    <row r="63">
      <c r="O63" s="7"/>
    </row>
    <row r="64">
      <c r="O64" s="7"/>
    </row>
    <row r="65">
      <c r="O65" s="7"/>
    </row>
    <row r="66">
      <c r="O66" s="7"/>
    </row>
    <row r="67">
      <c r="O67" s="7"/>
    </row>
    <row r="68">
      <c r="O68" s="7"/>
    </row>
    <row r="69">
      <c r="O69" s="7"/>
    </row>
    <row r="70">
      <c r="O70" s="7"/>
    </row>
    <row r="71">
      <c r="O71" s="7"/>
    </row>
    <row r="72">
      <c r="O72" s="7"/>
    </row>
    <row r="73">
      <c r="O73" s="7"/>
    </row>
    <row r="74">
      <c r="O74" s="7"/>
    </row>
    <row r="75">
      <c r="O75" s="7"/>
    </row>
    <row r="76">
      <c r="O76" s="7"/>
    </row>
    <row r="77">
      <c r="O77" s="7"/>
    </row>
    <row r="78">
      <c r="O78" s="7"/>
    </row>
    <row r="79">
      <c r="O79" s="7"/>
    </row>
    <row r="80">
      <c r="O80" s="7"/>
    </row>
    <row r="81">
      <c r="O81" s="7"/>
    </row>
    <row r="82">
      <c r="O82" s="7"/>
    </row>
    <row r="83">
      <c r="O83" s="7"/>
    </row>
    <row r="84">
      <c r="O84" s="7"/>
    </row>
    <row r="85">
      <c r="O85" s="7"/>
    </row>
    <row r="86">
      <c r="O86" s="7"/>
    </row>
    <row r="87">
      <c r="O87" s="7"/>
    </row>
    <row r="88">
      <c r="O88" s="7"/>
    </row>
    <row r="89">
      <c r="O89" s="7"/>
    </row>
    <row r="90">
      <c r="O90" s="7"/>
    </row>
    <row r="91">
      <c r="O91" s="7"/>
    </row>
    <row r="92">
      <c r="O92" s="7"/>
    </row>
    <row r="93">
      <c r="O93" s="7"/>
    </row>
    <row r="94">
      <c r="O94" s="7"/>
    </row>
    <row r="95">
      <c r="O95" s="7"/>
    </row>
    <row r="96">
      <c r="O96" s="7"/>
    </row>
    <row r="97">
      <c r="O97" s="7"/>
    </row>
    <row r="98">
      <c r="O98" s="7"/>
    </row>
    <row r="99">
      <c r="O99" s="7"/>
    </row>
    <row r="100">
      <c r="O100" s="7"/>
    </row>
    <row r="101">
      <c r="O101" s="7"/>
    </row>
    <row r="102">
      <c r="O102" s="7"/>
    </row>
    <row r="103">
      <c r="O103" s="7"/>
    </row>
    <row r="104">
      <c r="O104" s="7"/>
    </row>
    <row r="105">
      <c r="O105" s="7"/>
    </row>
    <row r="106">
      <c r="O106" s="7"/>
    </row>
    <row r="107">
      <c r="O107" s="7"/>
    </row>
    <row r="108">
      <c r="O108" s="7"/>
    </row>
    <row r="109">
      <c r="O109" s="7"/>
    </row>
    <row r="110">
      <c r="O110" s="7"/>
    </row>
    <row r="111">
      <c r="O111" s="7"/>
    </row>
    <row r="112">
      <c r="O112" s="7"/>
    </row>
    <row r="113">
      <c r="O113" s="7"/>
    </row>
    <row r="114">
      <c r="O114" s="7"/>
    </row>
    <row r="115">
      <c r="O115" s="7"/>
    </row>
    <row r="116">
      <c r="O116" s="7"/>
    </row>
    <row r="117">
      <c r="O117" s="7"/>
    </row>
    <row r="118">
      <c r="O118" s="7"/>
    </row>
    <row r="119">
      <c r="O119" s="7"/>
    </row>
    <row r="120">
      <c r="O120" s="7"/>
    </row>
    <row r="121">
      <c r="O121" s="7"/>
    </row>
    <row r="122">
      <c r="O122" s="7"/>
    </row>
    <row r="123">
      <c r="O123" s="7"/>
    </row>
    <row r="124">
      <c r="O124" s="7"/>
    </row>
    <row r="125">
      <c r="O125" s="7"/>
    </row>
    <row r="126">
      <c r="O126" s="7"/>
    </row>
    <row r="127">
      <c r="O127" s="7"/>
    </row>
    <row r="128">
      <c r="O128" s="7"/>
    </row>
    <row r="129">
      <c r="O129" s="7"/>
    </row>
    <row r="130">
      <c r="O130" s="7"/>
    </row>
    <row r="131">
      <c r="O131" s="7"/>
    </row>
    <row r="132">
      <c r="O132" s="7"/>
    </row>
    <row r="133">
      <c r="O133" s="7"/>
    </row>
    <row r="134">
      <c r="O134" s="7"/>
    </row>
    <row r="135">
      <c r="O135" s="7"/>
    </row>
    <row r="136">
      <c r="O136" s="7"/>
    </row>
    <row r="137">
      <c r="O137" s="7"/>
    </row>
    <row r="138">
      <c r="O138" s="7"/>
    </row>
    <row r="139">
      <c r="O139" s="7"/>
    </row>
    <row r="140">
      <c r="O140" s="7"/>
    </row>
    <row r="141">
      <c r="O141" s="7"/>
    </row>
    <row r="142">
      <c r="O142" s="7"/>
    </row>
    <row r="143">
      <c r="O143" s="7"/>
    </row>
    <row r="144">
      <c r="O144" s="7"/>
    </row>
    <row r="145">
      <c r="O145" s="7"/>
    </row>
    <row r="146">
      <c r="O146" s="7"/>
    </row>
    <row r="147">
      <c r="O147" s="7"/>
    </row>
    <row r="148">
      <c r="O148" s="7"/>
    </row>
    <row r="149">
      <c r="O149" s="7"/>
    </row>
    <row r="150">
      <c r="O150" s="7"/>
    </row>
    <row r="151">
      <c r="O151" s="7"/>
    </row>
    <row r="152">
      <c r="O152" s="7"/>
    </row>
    <row r="153">
      <c r="O153" s="7"/>
    </row>
    <row r="154">
      <c r="O154" s="7"/>
    </row>
    <row r="155">
      <c r="O155" s="7"/>
    </row>
    <row r="156">
      <c r="O156" s="7"/>
    </row>
    <row r="157">
      <c r="O157" s="7"/>
    </row>
    <row r="158">
      <c r="O158" s="7"/>
    </row>
    <row r="159">
      <c r="O159" s="7"/>
    </row>
    <row r="160">
      <c r="O160" s="7"/>
    </row>
    <row r="161">
      <c r="O161" s="7"/>
    </row>
    <row r="162">
      <c r="O162" s="7"/>
    </row>
    <row r="163">
      <c r="O163" s="7"/>
    </row>
    <row r="164">
      <c r="O164" s="7"/>
    </row>
    <row r="165">
      <c r="O165" s="7"/>
    </row>
    <row r="166">
      <c r="O166" s="7"/>
    </row>
    <row r="167">
      <c r="O167" s="7"/>
    </row>
    <row r="168">
      <c r="O168" s="7"/>
    </row>
    <row r="169">
      <c r="O169" s="7"/>
    </row>
    <row r="170">
      <c r="O170" s="7"/>
    </row>
    <row r="171">
      <c r="O171" s="7"/>
    </row>
    <row r="172">
      <c r="O172" s="7"/>
    </row>
    <row r="173">
      <c r="O173" s="7"/>
    </row>
    <row r="174">
      <c r="O174" s="7"/>
    </row>
    <row r="175">
      <c r="O175" s="7"/>
    </row>
    <row r="176">
      <c r="O176" s="7"/>
    </row>
    <row r="177">
      <c r="O177" s="7"/>
    </row>
    <row r="178">
      <c r="O178" s="7"/>
    </row>
    <row r="179">
      <c r="O179" s="7"/>
    </row>
    <row r="180">
      <c r="O180" s="7"/>
    </row>
    <row r="181">
      <c r="O181" s="7"/>
    </row>
    <row r="182">
      <c r="O182" s="7"/>
    </row>
    <row r="183">
      <c r="O183" s="7"/>
    </row>
    <row r="184">
      <c r="O184" s="7"/>
    </row>
    <row r="185">
      <c r="O185" s="7"/>
    </row>
    <row r="186">
      <c r="O186" s="7"/>
    </row>
    <row r="187">
      <c r="O187" s="7"/>
    </row>
    <row r="188">
      <c r="O188" s="7"/>
    </row>
    <row r="189">
      <c r="O189" s="7"/>
    </row>
    <row r="190">
      <c r="O190" s="7"/>
    </row>
    <row r="191">
      <c r="O191" s="7"/>
    </row>
    <row r="192">
      <c r="O192" s="7"/>
    </row>
    <row r="193">
      <c r="O193" s="7"/>
    </row>
    <row r="194">
      <c r="O194" s="7"/>
    </row>
    <row r="195">
      <c r="O195" s="7"/>
    </row>
    <row r="196">
      <c r="O196" s="7"/>
    </row>
    <row r="197">
      <c r="O197" s="7"/>
    </row>
    <row r="198">
      <c r="O198" s="7"/>
    </row>
    <row r="199">
      <c r="O199" s="7"/>
    </row>
    <row r="200">
      <c r="O200" s="7"/>
    </row>
    <row r="201">
      <c r="O201" s="7"/>
    </row>
    <row r="202">
      <c r="O202" s="7"/>
    </row>
    <row r="203">
      <c r="O203" s="7"/>
    </row>
    <row r="204">
      <c r="O204" s="7"/>
    </row>
    <row r="205">
      <c r="O205" s="7"/>
    </row>
    <row r="206">
      <c r="O206" s="7"/>
    </row>
    <row r="207">
      <c r="O207" s="7"/>
    </row>
    <row r="208">
      <c r="O208" s="7"/>
    </row>
    <row r="209">
      <c r="O209" s="7"/>
    </row>
    <row r="210">
      <c r="O210" s="7"/>
    </row>
    <row r="211">
      <c r="O211" s="7"/>
    </row>
    <row r="212">
      <c r="O212" s="7"/>
    </row>
    <row r="213">
      <c r="O213" s="7"/>
    </row>
    <row r="214">
      <c r="O214" s="7"/>
    </row>
    <row r="215">
      <c r="O215" s="7"/>
    </row>
    <row r="216">
      <c r="O216" s="7"/>
    </row>
    <row r="217">
      <c r="O217" s="7"/>
    </row>
    <row r="218">
      <c r="O218" s="7"/>
    </row>
    <row r="219">
      <c r="O219" s="7"/>
    </row>
    <row r="220">
      <c r="O220" s="7"/>
    </row>
    <row r="221">
      <c r="O221" s="7"/>
    </row>
    <row r="222">
      <c r="O222" s="7"/>
    </row>
    <row r="223">
      <c r="O223" s="7"/>
    </row>
    <row r="224">
      <c r="O224" s="7"/>
    </row>
    <row r="225">
      <c r="O225" s="7"/>
    </row>
    <row r="226">
      <c r="O226" s="7"/>
    </row>
    <row r="227">
      <c r="O227" s="7"/>
    </row>
    <row r="228">
      <c r="O228" s="7"/>
    </row>
    <row r="229">
      <c r="O229" s="7"/>
    </row>
    <row r="230">
      <c r="O230" s="7"/>
    </row>
    <row r="231">
      <c r="O231" s="7"/>
    </row>
    <row r="232">
      <c r="O232" s="7"/>
    </row>
    <row r="233">
      <c r="O233" s="7"/>
    </row>
    <row r="234">
      <c r="O234" s="7"/>
    </row>
    <row r="235">
      <c r="O235" s="7"/>
    </row>
    <row r="236">
      <c r="O236" s="7"/>
    </row>
    <row r="237">
      <c r="O237" s="7"/>
    </row>
    <row r="238">
      <c r="O238" s="7"/>
    </row>
    <row r="239">
      <c r="O239" s="7"/>
    </row>
    <row r="240">
      <c r="O240" s="7"/>
    </row>
    <row r="241">
      <c r="O241" s="7"/>
    </row>
    <row r="242">
      <c r="O242" s="7"/>
    </row>
    <row r="243">
      <c r="O243" s="7"/>
    </row>
    <row r="244">
      <c r="O244" s="7"/>
    </row>
    <row r="245">
      <c r="O245" s="7"/>
    </row>
    <row r="246">
      <c r="O246" s="7"/>
    </row>
    <row r="247">
      <c r="O247" s="7"/>
    </row>
    <row r="248">
      <c r="O248" s="7"/>
    </row>
    <row r="249">
      <c r="O249" s="7"/>
    </row>
    <row r="250">
      <c r="O250" s="7"/>
    </row>
    <row r="251">
      <c r="O251" s="7"/>
    </row>
    <row r="252">
      <c r="O252" s="7"/>
    </row>
    <row r="253">
      <c r="O253" s="7"/>
    </row>
    <row r="254">
      <c r="O254" s="7"/>
    </row>
    <row r="255">
      <c r="O255" s="7"/>
    </row>
    <row r="256">
      <c r="O256" s="7"/>
    </row>
    <row r="257">
      <c r="O257" s="7"/>
    </row>
    <row r="258">
      <c r="O258" s="7"/>
    </row>
    <row r="259">
      <c r="O259" s="7"/>
    </row>
    <row r="260">
      <c r="O260" s="7"/>
    </row>
    <row r="261">
      <c r="O261" s="7"/>
    </row>
    <row r="262">
      <c r="O262" s="7"/>
    </row>
    <row r="263">
      <c r="O263" s="7"/>
    </row>
    <row r="264">
      <c r="O264" s="7"/>
    </row>
    <row r="265">
      <c r="O265" s="7"/>
    </row>
    <row r="266">
      <c r="O266" s="7"/>
    </row>
    <row r="267">
      <c r="O267" s="7"/>
    </row>
    <row r="268">
      <c r="O268" s="7"/>
    </row>
    <row r="269">
      <c r="O269" s="7"/>
    </row>
    <row r="270">
      <c r="O270" s="7"/>
    </row>
    <row r="271">
      <c r="O271" s="7"/>
    </row>
    <row r="272">
      <c r="O272" s="7"/>
    </row>
    <row r="273">
      <c r="O273" s="7"/>
    </row>
    <row r="274">
      <c r="O274" s="7"/>
    </row>
    <row r="275">
      <c r="O275" s="7"/>
    </row>
    <row r="276">
      <c r="O276" s="7"/>
    </row>
    <row r="277">
      <c r="O277" s="7"/>
    </row>
    <row r="278">
      <c r="O278" s="7"/>
    </row>
    <row r="279">
      <c r="O279" s="7"/>
    </row>
    <row r="280">
      <c r="O280" s="7"/>
    </row>
    <row r="281">
      <c r="O281" s="7"/>
    </row>
    <row r="282">
      <c r="O282" s="7"/>
    </row>
    <row r="283">
      <c r="O283" s="7"/>
    </row>
    <row r="284">
      <c r="O284" s="7"/>
    </row>
    <row r="285">
      <c r="O285" s="7"/>
    </row>
    <row r="286">
      <c r="O286" s="7"/>
    </row>
    <row r="287">
      <c r="O287" s="7"/>
    </row>
    <row r="288">
      <c r="O288" s="7"/>
    </row>
    <row r="289">
      <c r="O289" s="7"/>
    </row>
    <row r="290">
      <c r="O290" s="7"/>
    </row>
    <row r="291">
      <c r="O291" s="7"/>
    </row>
    <row r="292">
      <c r="O292" s="7"/>
    </row>
    <row r="293">
      <c r="O293" s="7"/>
    </row>
    <row r="294">
      <c r="O294" s="7"/>
    </row>
    <row r="295">
      <c r="O295" s="7"/>
    </row>
    <row r="296">
      <c r="O296" s="7"/>
    </row>
    <row r="297">
      <c r="O297" s="7"/>
    </row>
    <row r="298">
      <c r="O298" s="7"/>
    </row>
    <row r="299">
      <c r="O299" s="7"/>
    </row>
    <row r="300">
      <c r="O300" s="7"/>
    </row>
    <row r="301">
      <c r="O301" s="7"/>
    </row>
    <row r="302">
      <c r="O302" s="7"/>
    </row>
    <row r="303">
      <c r="O303" s="7"/>
    </row>
    <row r="304">
      <c r="O304" s="7"/>
    </row>
    <row r="305">
      <c r="O305" s="7"/>
    </row>
    <row r="306">
      <c r="O306" s="7"/>
    </row>
    <row r="307">
      <c r="O307" s="7"/>
    </row>
    <row r="308">
      <c r="O308" s="7"/>
    </row>
    <row r="309">
      <c r="O309" s="7"/>
    </row>
    <row r="310">
      <c r="O310" s="7"/>
    </row>
    <row r="311">
      <c r="O311" s="7"/>
    </row>
    <row r="312">
      <c r="O312" s="7"/>
    </row>
    <row r="313">
      <c r="O313" s="7"/>
    </row>
    <row r="314">
      <c r="O314" s="7"/>
    </row>
    <row r="315">
      <c r="O315" s="7"/>
    </row>
    <row r="316">
      <c r="O316" s="7"/>
    </row>
    <row r="317">
      <c r="O317" s="7"/>
    </row>
    <row r="318">
      <c r="O318" s="7"/>
    </row>
    <row r="319">
      <c r="O319" s="7"/>
    </row>
    <row r="320">
      <c r="O320" s="7"/>
    </row>
    <row r="321">
      <c r="O321" s="7"/>
    </row>
    <row r="322">
      <c r="O322" s="7"/>
    </row>
    <row r="323">
      <c r="O323" s="7"/>
    </row>
    <row r="324">
      <c r="O324" s="7"/>
    </row>
    <row r="325">
      <c r="O325" s="7"/>
    </row>
    <row r="326">
      <c r="O326" s="7"/>
    </row>
    <row r="327">
      <c r="O327" s="7"/>
    </row>
    <row r="328">
      <c r="O328" s="7"/>
    </row>
    <row r="329">
      <c r="O329" s="7"/>
    </row>
    <row r="330">
      <c r="O330" s="7"/>
    </row>
    <row r="331">
      <c r="O331" s="7"/>
    </row>
    <row r="332">
      <c r="O332" s="7"/>
    </row>
    <row r="333">
      <c r="O333" s="7"/>
    </row>
    <row r="334">
      <c r="O334" s="7"/>
    </row>
    <row r="335">
      <c r="O335" s="7"/>
    </row>
    <row r="336">
      <c r="O336" s="7"/>
    </row>
    <row r="337">
      <c r="O337" s="7"/>
    </row>
    <row r="338">
      <c r="O338" s="7"/>
    </row>
    <row r="339">
      <c r="O339" s="7"/>
    </row>
    <row r="340">
      <c r="O340" s="7"/>
    </row>
    <row r="341">
      <c r="O341" s="7"/>
    </row>
    <row r="342">
      <c r="O342" s="7"/>
    </row>
    <row r="343">
      <c r="O343" s="7"/>
    </row>
    <row r="344">
      <c r="O344" s="7"/>
    </row>
    <row r="345">
      <c r="O345" s="7"/>
    </row>
    <row r="346">
      <c r="O346" s="7"/>
    </row>
    <row r="347">
      <c r="O347" s="7"/>
    </row>
    <row r="348">
      <c r="O348" s="7"/>
    </row>
    <row r="349">
      <c r="O349" s="7"/>
    </row>
    <row r="350">
      <c r="O350" s="7"/>
    </row>
    <row r="351">
      <c r="O351" s="7"/>
    </row>
    <row r="352">
      <c r="O352" s="7"/>
    </row>
    <row r="353">
      <c r="O353" s="7"/>
    </row>
    <row r="354">
      <c r="O354" s="7"/>
    </row>
    <row r="355">
      <c r="O355" s="7"/>
    </row>
    <row r="356">
      <c r="O356" s="7"/>
    </row>
    <row r="357">
      <c r="O357" s="7"/>
    </row>
    <row r="358">
      <c r="O358" s="7"/>
    </row>
    <row r="359">
      <c r="O359" s="7"/>
    </row>
    <row r="360">
      <c r="O360" s="7"/>
    </row>
    <row r="361">
      <c r="O361" s="7"/>
    </row>
    <row r="362">
      <c r="O362" s="7"/>
    </row>
    <row r="363">
      <c r="O363" s="7"/>
    </row>
    <row r="364">
      <c r="O364" s="7"/>
    </row>
    <row r="365">
      <c r="O365" s="7"/>
    </row>
    <row r="366">
      <c r="O366" s="7"/>
    </row>
    <row r="367">
      <c r="O367" s="7"/>
    </row>
    <row r="368">
      <c r="O368" s="7"/>
    </row>
    <row r="369">
      <c r="O369" s="7"/>
    </row>
    <row r="370">
      <c r="O370" s="7"/>
    </row>
    <row r="371">
      <c r="O371" s="7"/>
    </row>
    <row r="372">
      <c r="O372" s="7"/>
    </row>
    <row r="373">
      <c r="O373" s="7"/>
    </row>
    <row r="374">
      <c r="O374" s="7"/>
    </row>
    <row r="375">
      <c r="O375" s="7"/>
    </row>
    <row r="376">
      <c r="O376" s="7"/>
    </row>
    <row r="377">
      <c r="O377" s="7"/>
    </row>
    <row r="378">
      <c r="O378" s="7"/>
    </row>
    <row r="379">
      <c r="O379" s="7"/>
    </row>
    <row r="380">
      <c r="O380" s="7"/>
    </row>
    <row r="381">
      <c r="O381" s="7"/>
    </row>
    <row r="382">
      <c r="O382" s="7"/>
    </row>
    <row r="383">
      <c r="O383" s="7"/>
    </row>
    <row r="384">
      <c r="O384" s="7"/>
    </row>
    <row r="385">
      <c r="O385" s="7"/>
    </row>
    <row r="386">
      <c r="O386" s="7"/>
    </row>
    <row r="387">
      <c r="O387" s="7"/>
    </row>
    <row r="388">
      <c r="O388" s="7"/>
    </row>
    <row r="389">
      <c r="O389" s="7"/>
    </row>
    <row r="390">
      <c r="O390" s="7"/>
    </row>
    <row r="391">
      <c r="O391" s="7"/>
    </row>
    <row r="392">
      <c r="O392" s="7"/>
    </row>
    <row r="393">
      <c r="O393" s="7"/>
    </row>
    <row r="394">
      <c r="O394" s="7"/>
    </row>
    <row r="395">
      <c r="O395" s="7"/>
    </row>
    <row r="396">
      <c r="O396" s="7"/>
    </row>
    <row r="397">
      <c r="O397" s="7"/>
    </row>
    <row r="398">
      <c r="O398" s="7"/>
    </row>
    <row r="399">
      <c r="O399" s="7"/>
    </row>
    <row r="400">
      <c r="O400" s="7"/>
    </row>
    <row r="401">
      <c r="O401" s="7"/>
    </row>
    <row r="402">
      <c r="O402" s="7"/>
    </row>
    <row r="403">
      <c r="O403" s="7"/>
    </row>
    <row r="404">
      <c r="O404" s="7"/>
    </row>
    <row r="405">
      <c r="O405" s="7"/>
    </row>
    <row r="406">
      <c r="O406" s="7"/>
    </row>
    <row r="407">
      <c r="O407" s="7"/>
    </row>
    <row r="408">
      <c r="O408" s="7"/>
    </row>
    <row r="409">
      <c r="O409" s="7"/>
    </row>
    <row r="410">
      <c r="O410" s="7"/>
    </row>
    <row r="411">
      <c r="O411" s="7"/>
    </row>
    <row r="412">
      <c r="O412" s="7"/>
    </row>
    <row r="413">
      <c r="O413" s="7"/>
    </row>
    <row r="414">
      <c r="O414" s="7"/>
    </row>
    <row r="415">
      <c r="O415" s="7"/>
    </row>
    <row r="416">
      <c r="O416" s="7"/>
    </row>
    <row r="417">
      <c r="O417" s="7"/>
    </row>
    <row r="418">
      <c r="O418" s="7"/>
    </row>
    <row r="419">
      <c r="O419" s="7"/>
    </row>
    <row r="420">
      <c r="O420" s="7"/>
    </row>
    <row r="421">
      <c r="O421" s="7"/>
    </row>
    <row r="422">
      <c r="O422" s="7"/>
    </row>
    <row r="423">
      <c r="O423" s="7"/>
    </row>
    <row r="424">
      <c r="O424" s="7"/>
    </row>
    <row r="425">
      <c r="O425" s="7"/>
    </row>
    <row r="426">
      <c r="O426" s="7"/>
    </row>
    <row r="427">
      <c r="O427" s="7"/>
    </row>
    <row r="428">
      <c r="O428" s="7"/>
    </row>
    <row r="429">
      <c r="O429" s="7"/>
    </row>
    <row r="430">
      <c r="O430" s="7"/>
    </row>
    <row r="431">
      <c r="O431" s="7"/>
    </row>
    <row r="432">
      <c r="O432" s="7"/>
    </row>
    <row r="433">
      <c r="O433" s="7"/>
    </row>
    <row r="434">
      <c r="O434" s="7"/>
    </row>
    <row r="435">
      <c r="O435" s="7"/>
    </row>
    <row r="436">
      <c r="O436" s="7"/>
    </row>
    <row r="437">
      <c r="O437" s="7"/>
    </row>
    <row r="438">
      <c r="O438" s="7"/>
    </row>
    <row r="439">
      <c r="O439" s="7"/>
    </row>
    <row r="440">
      <c r="O440" s="7"/>
    </row>
    <row r="441">
      <c r="O441" s="7"/>
    </row>
    <row r="442">
      <c r="O442" s="7"/>
    </row>
    <row r="443">
      <c r="O443" s="7"/>
    </row>
    <row r="444">
      <c r="O444" s="7"/>
    </row>
    <row r="445">
      <c r="O445" s="7"/>
    </row>
    <row r="446">
      <c r="O446" s="7"/>
    </row>
    <row r="447">
      <c r="O447" s="7"/>
    </row>
    <row r="448">
      <c r="O448" s="7"/>
    </row>
    <row r="449">
      <c r="O449" s="7"/>
    </row>
    <row r="450">
      <c r="O450" s="7"/>
    </row>
    <row r="451">
      <c r="O451" s="7"/>
    </row>
    <row r="452">
      <c r="O452" s="7"/>
    </row>
    <row r="453">
      <c r="O453" s="7"/>
    </row>
    <row r="454">
      <c r="O454" s="7"/>
    </row>
    <row r="455">
      <c r="O455" s="7"/>
    </row>
    <row r="456">
      <c r="O456" s="7"/>
    </row>
    <row r="457">
      <c r="O457" s="7"/>
    </row>
    <row r="458">
      <c r="O458" s="7"/>
    </row>
    <row r="459">
      <c r="O459" s="7"/>
    </row>
    <row r="460">
      <c r="O460" s="7"/>
    </row>
    <row r="461">
      <c r="O461" s="7"/>
    </row>
    <row r="462">
      <c r="O462" s="7"/>
    </row>
    <row r="463">
      <c r="O463" s="7"/>
    </row>
    <row r="464">
      <c r="O464" s="7"/>
    </row>
    <row r="465">
      <c r="O465" s="7"/>
    </row>
    <row r="466">
      <c r="O466" s="7"/>
    </row>
    <row r="467">
      <c r="O467" s="7"/>
    </row>
    <row r="468">
      <c r="O468" s="7"/>
    </row>
    <row r="469">
      <c r="O469" s="7"/>
    </row>
    <row r="470">
      <c r="O470" s="7"/>
    </row>
    <row r="471">
      <c r="O471" s="7"/>
    </row>
    <row r="472">
      <c r="O472" s="7"/>
    </row>
    <row r="473">
      <c r="O473" s="7"/>
    </row>
    <row r="474">
      <c r="O474" s="7"/>
    </row>
    <row r="475">
      <c r="O475" s="7"/>
    </row>
    <row r="476">
      <c r="O476" s="7"/>
    </row>
    <row r="477">
      <c r="O477" s="7"/>
    </row>
    <row r="478">
      <c r="O478" s="7"/>
    </row>
    <row r="479">
      <c r="O479" s="7"/>
    </row>
    <row r="480">
      <c r="O480" s="7"/>
    </row>
    <row r="481">
      <c r="O481" s="7"/>
    </row>
    <row r="482">
      <c r="O482" s="7"/>
    </row>
    <row r="483">
      <c r="O483" s="7"/>
    </row>
    <row r="484">
      <c r="O484" s="7"/>
    </row>
    <row r="485">
      <c r="O485" s="7"/>
    </row>
    <row r="486">
      <c r="O486" s="7"/>
    </row>
    <row r="487">
      <c r="O487" s="7"/>
    </row>
    <row r="488">
      <c r="O488" s="7"/>
    </row>
    <row r="489">
      <c r="O489" s="7"/>
    </row>
    <row r="490">
      <c r="O490" s="7"/>
    </row>
    <row r="491">
      <c r="O491" s="7"/>
    </row>
    <row r="492">
      <c r="O492" s="7"/>
    </row>
    <row r="493">
      <c r="O493" s="7"/>
    </row>
    <row r="494">
      <c r="O494" s="7"/>
    </row>
    <row r="495">
      <c r="O495" s="7"/>
    </row>
    <row r="496">
      <c r="O496" s="7"/>
    </row>
    <row r="497">
      <c r="O497" s="7"/>
    </row>
    <row r="498">
      <c r="O498" s="7"/>
    </row>
    <row r="499">
      <c r="O499" s="7"/>
    </row>
    <row r="500">
      <c r="O500" s="7"/>
    </row>
    <row r="501">
      <c r="O501" s="7"/>
    </row>
    <row r="502">
      <c r="O502" s="7"/>
    </row>
    <row r="503">
      <c r="O503" s="7"/>
    </row>
    <row r="504">
      <c r="O504" s="7"/>
    </row>
    <row r="505">
      <c r="O505" s="7"/>
    </row>
    <row r="506">
      <c r="O506" s="7"/>
    </row>
    <row r="507">
      <c r="O507" s="7"/>
    </row>
    <row r="508">
      <c r="O508" s="7"/>
    </row>
    <row r="509">
      <c r="O509" s="7"/>
    </row>
    <row r="510">
      <c r="O510" s="7"/>
    </row>
    <row r="511">
      <c r="O511" s="7"/>
    </row>
    <row r="512">
      <c r="O512" s="7"/>
    </row>
    <row r="513">
      <c r="O513" s="7"/>
    </row>
    <row r="514">
      <c r="O514" s="7"/>
    </row>
    <row r="515">
      <c r="O515" s="7"/>
    </row>
    <row r="516">
      <c r="O516" s="7"/>
    </row>
    <row r="517">
      <c r="O517" s="7"/>
    </row>
    <row r="518">
      <c r="O518" s="7"/>
    </row>
    <row r="519">
      <c r="O519" s="7"/>
    </row>
    <row r="520">
      <c r="O520" s="7"/>
    </row>
    <row r="521">
      <c r="O521" s="7"/>
    </row>
    <row r="522">
      <c r="O522" s="7"/>
    </row>
    <row r="523">
      <c r="O523" s="7"/>
    </row>
    <row r="524">
      <c r="O524" s="7"/>
    </row>
    <row r="525">
      <c r="O525" s="7"/>
    </row>
    <row r="526">
      <c r="O526" s="7"/>
    </row>
    <row r="527">
      <c r="O527" s="7"/>
    </row>
    <row r="528">
      <c r="O528" s="7"/>
    </row>
    <row r="529">
      <c r="O529" s="7"/>
    </row>
    <row r="530">
      <c r="O530" s="7"/>
    </row>
    <row r="531">
      <c r="O531" s="7"/>
    </row>
    <row r="532">
      <c r="O532" s="7"/>
    </row>
    <row r="533">
      <c r="O533" s="7"/>
    </row>
    <row r="534">
      <c r="O534" s="7"/>
    </row>
    <row r="535">
      <c r="O535" s="7"/>
    </row>
    <row r="536">
      <c r="O536" s="7"/>
    </row>
    <row r="537">
      <c r="O537" s="7"/>
    </row>
    <row r="538">
      <c r="O538" s="7"/>
    </row>
    <row r="539">
      <c r="O539" s="7"/>
    </row>
    <row r="540">
      <c r="O540" s="7"/>
    </row>
    <row r="541">
      <c r="O541" s="7"/>
    </row>
    <row r="542">
      <c r="O542" s="7"/>
    </row>
    <row r="543">
      <c r="O543" s="7"/>
    </row>
    <row r="544">
      <c r="O544" s="7"/>
    </row>
    <row r="545">
      <c r="O545" s="7"/>
    </row>
    <row r="546">
      <c r="O546" s="7"/>
    </row>
    <row r="547">
      <c r="O547" s="7"/>
    </row>
    <row r="548">
      <c r="O548" s="7"/>
    </row>
    <row r="549">
      <c r="O549" s="7"/>
    </row>
    <row r="550">
      <c r="O550" s="7"/>
    </row>
    <row r="551">
      <c r="O551" s="7"/>
    </row>
    <row r="552">
      <c r="O552" s="7"/>
    </row>
    <row r="553">
      <c r="O553" s="7"/>
    </row>
    <row r="554">
      <c r="O554" s="7"/>
    </row>
    <row r="555">
      <c r="O555" s="7"/>
    </row>
    <row r="556">
      <c r="O556" s="7"/>
    </row>
    <row r="557">
      <c r="O557" s="7"/>
    </row>
    <row r="558">
      <c r="O558" s="7"/>
    </row>
    <row r="559">
      <c r="O559" s="7"/>
    </row>
    <row r="560">
      <c r="O560" s="7"/>
    </row>
    <row r="561">
      <c r="O561" s="7"/>
    </row>
    <row r="562">
      <c r="O562" s="7"/>
    </row>
    <row r="563">
      <c r="O563" s="7"/>
    </row>
    <row r="564">
      <c r="O564" s="7"/>
    </row>
    <row r="565">
      <c r="O565" s="7"/>
    </row>
    <row r="566">
      <c r="O566" s="7"/>
    </row>
    <row r="567">
      <c r="O567" s="7"/>
    </row>
    <row r="568">
      <c r="O568" s="7"/>
    </row>
    <row r="569">
      <c r="O569" s="7"/>
    </row>
    <row r="570">
      <c r="O570" s="7"/>
    </row>
    <row r="571">
      <c r="O571" s="7"/>
    </row>
    <row r="572">
      <c r="O572" s="7"/>
    </row>
    <row r="573">
      <c r="O573" s="7"/>
    </row>
    <row r="574">
      <c r="O574" s="7"/>
    </row>
    <row r="575">
      <c r="O575" s="7"/>
    </row>
    <row r="576">
      <c r="O576" s="7"/>
    </row>
    <row r="577">
      <c r="O577" s="7"/>
    </row>
    <row r="578">
      <c r="O578" s="7"/>
    </row>
    <row r="579">
      <c r="O579" s="7"/>
    </row>
    <row r="580">
      <c r="O580" s="7"/>
    </row>
    <row r="581">
      <c r="O581" s="7"/>
    </row>
    <row r="582">
      <c r="O582" s="7"/>
    </row>
    <row r="583">
      <c r="O583" s="7"/>
    </row>
    <row r="584">
      <c r="O584" s="7"/>
    </row>
    <row r="585">
      <c r="O585" s="7"/>
    </row>
    <row r="586">
      <c r="O586" s="7"/>
    </row>
    <row r="587">
      <c r="O587" s="7"/>
    </row>
    <row r="588">
      <c r="O588" s="7"/>
    </row>
    <row r="589">
      <c r="O589" s="7"/>
    </row>
    <row r="590">
      <c r="O590" s="7"/>
    </row>
    <row r="591">
      <c r="O591" s="7"/>
    </row>
    <row r="592">
      <c r="O592" s="7"/>
    </row>
    <row r="593">
      <c r="O593" s="7"/>
    </row>
    <row r="594">
      <c r="O594" s="7"/>
    </row>
    <row r="595">
      <c r="O595" s="7"/>
    </row>
    <row r="596">
      <c r="O596" s="7"/>
    </row>
    <row r="597">
      <c r="O597" s="7"/>
    </row>
    <row r="598">
      <c r="O598" s="7"/>
    </row>
    <row r="599">
      <c r="O599" s="7"/>
    </row>
    <row r="600">
      <c r="O600" s="7"/>
    </row>
    <row r="601">
      <c r="O601" s="7"/>
    </row>
    <row r="602">
      <c r="O602" s="7"/>
    </row>
    <row r="603">
      <c r="O603" s="7"/>
    </row>
    <row r="604">
      <c r="O604" s="7"/>
    </row>
    <row r="605">
      <c r="O605" s="7"/>
    </row>
    <row r="606">
      <c r="O606" s="7"/>
    </row>
    <row r="607">
      <c r="O607" s="7"/>
    </row>
    <row r="608">
      <c r="O608" s="7"/>
    </row>
    <row r="609">
      <c r="O609" s="7"/>
    </row>
    <row r="610">
      <c r="O610" s="7"/>
    </row>
    <row r="611">
      <c r="O611" s="7"/>
    </row>
    <row r="612">
      <c r="O612" s="7"/>
    </row>
    <row r="613">
      <c r="O613" s="7"/>
    </row>
    <row r="614">
      <c r="O614" s="7"/>
    </row>
    <row r="615">
      <c r="O615" s="7"/>
    </row>
    <row r="616">
      <c r="O616" s="7"/>
    </row>
    <row r="617">
      <c r="O617" s="7"/>
    </row>
    <row r="618">
      <c r="O618" s="7"/>
    </row>
    <row r="619">
      <c r="O619" s="7"/>
    </row>
    <row r="620">
      <c r="O620" s="7"/>
    </row>
    <row r="621">
      <c r="O621" s="7"/>
    </row>
    <row r="622">
      <c r="O622" s="7"/>
    </row>
    <row r="623">
      <c r="O623" s="7"/>
    </row>
    <row r="624">
      <c r="O624" s="7"/>
    </row>
    <row r="625">
      <c r="O625" s="7"/>
    </row>
    <row r="626">
      <c r="O626" s="7"/>
    </row>
    <row r="627">
      <c r="O627" s="7"/>
    </row>
    <row r="628">
      <c r="O628" s="7"/>
    </row>
    <row r="629">
      <c r="O629" s="7"/>
    </row>
    <row r="630">
      <c r="O630" s="7"/>
    </row>
    <row r="631">
      <c r="O631" s="7"/>
    </row>
    <row r="632">
      <c r="O632" s="7"/>
    </row>
    <row r="633">
      <c r="O633" s="7"/>
    </row>
    <row r="634">
      <c r="O634" s="7"/>
    </row>
    <row r="635">
      <c r="O635" s="7"/>
    </row>
    <row r="636">
      <c r="O636" s="7"/>
    </row>
    <row r="637">
      <c r="O637" s="7"/>
    </row>
    <row r="638">
      <c r="O638" s="7"/>
    </row>
    <row r="639">
      <c r="O639" s="7"/>
    </row>
    <row r="640">
      <c r="O640" s="7"/>
    </row>
    <row r="641">
      <c r="O641" s="7"/>
    </row>
    <row r="642">
      <c r="O642" s="7"/>
    </row>
    <row r="643">
      <c r="O643" s="7"/>
    </row>
    <row r="644">
      <c r="O644" s="7"/>
    </row>
    <row r="645">
      <c r="O645" s="7"/>
    </row>
    <row r="646">
      <c r="O646" s="7"/>
    </row>
    <row r="647">
      <c r="O647" s="7"/>
    </row>
    <row r="648">
      <c r="O648" s="7"/>
    </row>
    <row r="649">
      <c r="O649" s="7"/>
    </row>
    <row r="650">
      <c r="O650" s="7"/>
    </row>
    <row r="651">
      <c r="O651" s="7"/>
    </row>
    <row r="652">
      <c r="O652" s="7"/>
    </row>
    <row r="653">
      <c r="O653" s="7"/>
    </row>
    <row r="654">
      <c r="O654" s="7"/>
    </row>
    <row r="655">
      <c r="O655" s="7"/>
    </row>
    <row r="656">
      <c r="O656" s="7"/>
    </row>
    <row r="657">
      <c r="O657" s="7"/>
    </row>
    <row r="658">
      <c r="O658" s="7"/>
    </row>
    <row r="659">
      <c r="O659" s="7"/>
    </row>
    <row r="660">
      <c r="O660" s="7"/>
    </row>
    <row r="661">
      <c r="O661" s="7"/>
    </row>
    <row r="662">
      <c r="O662" s="7"/>
    </row>
    <row r="663">
      <c r="O663" s="7"/>
    </row>
    <row r="664">
      <c r="O664" s="7"/>
    </row>
    <row r="665">
      <c r="O665" s="7"/>
    </row>
    <row r="666">
      <c r="O666" s="7"/>
    </row>
    <row r="667">
      <c r="O667" s="7"/>
    </row>
    <row r="668">
      <c r="O668" s="7"/>
    </row>
    <row r="669">
      <c r="O669" s="7"/>
    </row>
    <row r="670">
      <c r="O670" s="7"/>
    </row>
    <row r="671">
      <c r="O671" s="7"/>
    </row>
    <row r="672">
      <c r="O672" s="7"/>
    </row>
    <row r="673">
      <c r="O673" s="7"/>
    </row>
    <row r="674">
      <c r="O674" s="7"/>
    </row>
    <row r="675">
      <c r="O675" s="7"/>
    </row>
    <row r="676">
      <c r="O676" s="7"/>
    </row>
    <row r="677">
      <c r="O677" s="7"/>
    </row>
    <row r="678">
      <c r="O678" s="7"/>
    </row>
    <row r="679">
      <c r="O679" s="7"/>
    </row>
    <row r="680">
      <c r="O680" s="7"/>
    </row>
    <row r="681">
      <c r="O681" s="7"/>
    </row>
    <row r="682">
      <c r="O682" s="7"/>
    </row>
    <row r="683">
      <c r="O683" s="7"/>
    </row>
    <row r="684">
      <c r="O684" s="7"/>
    </row>
    <row r="685">
      <c r="O685" s="7"/>
    </row>
    <row r="686">
      <c r="O686" s="7"/>
    </row>
    <row r="687">
      <c r="O687" s="7"/>
    </row>
    <row r="688">
      <c r="O688" s="7"/>
    </row>
    <row r="689">
      <c r="O689" s="7"/>
    </row>
    <row r="690">
      <c r="O690" s="7"/>
    </row>
    <row r="691">
      <c r="O691" s="7"/>
    </row>
    <row r="692">
      <c r="O692" s="7"/>
    </row>
    <row r="693">
      <c r="O693" s="7"/>
    </row>
    <row r="694">
      <c r="O694" s="7"/>
    </row>
    <row r="695">
      <c r="O695" s="7"/>
    </row>
    <row r="696">
      <c r="O696" s="7"/>
    </row>
    <row r="697">
      <c r="O697" s="7"/>
    </row>
    <row r="698">
      <c r="O698" s="7"/>
    </row>
    <row r="699">
      <c r="O699" s="7"/>
    </row>
    <row r="700">
      <c r="O700" s="7"/>
    </row>
    <row r="701">
      <c r="O701" s="7"/>
    </row>
    <row r="702">
      <c r="O702" s="7"/>
    </row>
    <row r="703">
      <c r="O703" s="7"/>
    </row>
    <row r="704">
      <c r="O704" s="7"/>
    </row>
    <row r="705">
      <c r="O705" s="7"/>
    </row>
    <row r="706">
      <c r="O706" s="7"/>
    </row>
    <row r="707">
      <c r="O707" s="7"/>
    </row>
    <row r="708">
      <c r="O708" s="7"/>
    </row>
    <row r="709">
      <c r="O709" s="7"/>
    </row>
    <row r="710">
      <c r="O710" s="7"/>
    </row>
    <row r="711">
      <c r="O711" s="7"/>
    </row>
    <row r="712">
      <c r="O712" s="7"/>
    </row>
    <row r="713">
      <c r="O713" s="7"/>
    </row>
    <row r="714">
      <c r="O714" s="7"/>
    </row>
    <row r="715">
      <c r="O715" s="7"/>
    </row>
    <row r="716">
      <c r="O716" s="7"/>
    </row>
    <row r="717">
      <c r="O717" s="7"/>
    </row>
    <row r="718">
      <c r="O718" s="7"/>
    </row>
    <row r="719">
      <c r="O719" s="7"/>
    </row>
    <row r="720">
      <c r="O720" s="7"/>
    </row>
    <row r="721">
      <c r="O721" s="7"/>
    </row>
    <row r="722">
      <c r="O722" s="7"/>
    </row>
    <row r="723">
      <c r="O723" s="7"/>
    </row>
    <row r="724">
      <c r="O724" s="7"/>
    </row>
    <row r="725">
      <c r="O725" s="7"/>
    </row>
    <row r="726">
      <c r="O726" s="7"/>
    </row>
    <row r="727">
      <c r="O727" s="7"/>
    </row>
    <row r="728">
      <c r="O728" s="7"/>
    </row>
    <row r="729">
      <c r="O729" s="7"/>
    </row>
    <row r="730">
      <c r="O730" s="7"/>
    </row>
    <row r="731">
      <c r="O731" s="7"/>
    </row>
    <row r="732">
      <c r="O732" s="7"/>
    </row>
    <row r="733">
      <c r="O733" s="7"/>
    </row>
    <row r="734">
      <c r="O734" s="7"/>
    </row>
    <row r="735">
      <c r="O735" s="7"/>
    </row>
    <row r="736">
      <c r="O736" s="7"/>
    </row>
    <row r="737">
      <c r="O737" s="7"/>
    </row>
    <row r="738">
      <c r="O738" s="7"/>
    </row>
    <row r="739">
      <c r="O739" s="7"/>
    </row>
    <row r="740">
      <c r="O740" s="7"/>
    </row>
    <row r="741">
      <c r="O741" s="7"/>
    </row>
    <row r="742">
      <c r="O742" s="7"/>
    </row>
    <row r="743">
      <c r="O743" s="7"/>
    </row>
    <row r="744">
      <c r="O744" s="7"/>
    </row>
    <row r="745">
      <c r="O745" s="7"/>
    </row>
    <row r="746">
      <c r="O746" s="7"/>
    </row>
    <row r="747">
      <c r="O747" s="7"/>
    </row>
    <row r="748">
      <c r="O748" s="7"/>
    </row>
    <row r="749">
      <c r="O749" s="7"/>
    </row>
    <row r="750">
      <c r="O750" s="7"/>
    </row>
    <row r="751">
      <c r="O751" s="7"/>
    </row>
    <row r="752">
      <c r="O752" s="7"/>
    </row>
    <row r="753">
      <c r="O753" s="7"/>
    </row>
    <row r="754">
      <c r="O754" s="7"/>
    </row>
    <row r="755">
      <c r="O755" s="7"/>
    </row>
    <row r="756">
      <c r="O756" s="7"/>
    </row>
    <row r="757">
      <c r="O757" s="7"/>
    </row>
    <row r="758">
      <c r="O758" s="7"/>
    </row>
    <row r="759">
      <c r="O759" s="7"/>
    </row>
    <row r="760">
      <c r="O760" s="7"/>
    </row>
    <row r="761">
      <c r="O761" s="7"/>
    </row>
    <row r="762">
      <c r="O762" s="7"/>
    </row>
    <row r="763">
      <c r="O763" s="7"/>
    </row>
    <row r="764">
      <c r="O764" s="7"/>
    </row>
    <row r="765">
      <c r="O765" s="7"/>
    </row>
    <row r="766">
      <c r="O766" s="7"/>
    </row>
    <row r="767">
      <c r="O767" s="7"/>
    </row>
    <row r="768">
      <c r="O768" s="7"/>
    </row>
    <row r="769">
      <c r="O769" s="7"/>
    </row>
    <row r="770">
      <c r="O770" s="7"/>
    </row>
    <row r="771">
      <c r="O771" s="7"/>
    </row>
    <row r="772">
      <c r="O772" s="7"/>
    </row>
    <row r="773">
      <c r="O773" s="7"/>
    </row>
    <row r="774">
      <c r="O774" s="7"/>
    </row>
    <row r="775">
      <c r="O775" s="7"/>
    </row>
    <row r="776">
      <c r="O776" s="7"/>
    </row>
    <row r="777">
      <c r="O777" s="7"/>
    </row>
    <row r="778">
      <c r="O778" s="7"/>
    </row>
    <row r="779">
      <c r="O779" s="7"/>
    </row>
    <row r="780">
      <c r="O780" s="7"/>
    </row>
    <row r="781">
      <c r="O781" s="7"/>
    </row>
    <row r="782">
      <c r="O782" s="7"/>
    </row>
    <row r="783">
      <c r="O783" s="7"/>
    </row>
    <row r="784">
      <c r="O784" s="7"/>
    </row>
    <row r="785">
      <c r="O785" s="7"/>
    </row>
    <row r="786">
      <c r="O786" s="7"/>
    </row>
    <row r="787">
      <c r="O787" s="7"/>
    </row>
    <row r="788">
      <c r="O788" s="7"/>
    </row>
    <row r="789">
      <c r="O789" s="7"/>
    </row>
    <row r="790">
      <c r="O790" s="7"/>
    </row>
    <row r="791">
      <c r="O791" s="7"/>
    </row>
    <row r="792">
      <c r="O792" s="7"/>
    </row>
    <row r="793">
      <c r="O793" s="7"/>
    </row>
    <row r="794">
      <c r="O794" s="7"/>
    </row>
    <row r="795">
      <c r="O795" s="7"/>
    </row>
    <row r="796">
      <c r="O796" s="7"/>
    </row>
    <row r="797">
      <c r="O797" s="7"/>
    </row>
    <row r="798">
      <c r="O798" s="7"/>
    </row>
    <row r="799">
      <c r="O799" s="7"/>
    </row>
    <row r="800">
      <c r="O800" s="7"/>
    </row>
    <row r="801">
      <c r="O801" s="7"/>
    </row>
    <row r="802">
      <c r="O802" s="7"/>
    </row>
    <row r="803">
      <c r="O803" s="7"/>
    </row>
    <row r="804">
      <c r="O804" s="7"/>
    </row>
    <row r="805">
      <c r="O805" s="7"/>
    </row>
    <row r="806">
      <c r="O806" s="7"/>
    </row>
    <row r="807">
      <c r="O807" s="7"/>
    </row>
    <row r="808">
      <c r="O808" s="7"/>
    </row>
    <row r="809">
      <c r="O809" s="7"/>
    </row>
    <row r="810">
      <c r="O810" s="7"/>
    </row>
    <row r="811">
      <c r="O811" s="7"/>
    </row>
    <row r="812">
      <c r="O812" s="7"/>
    </row>
    <row r="813">
      <c r="O813" s="7"/>
    </row>
    <row r="814">
      <c r="O814" s="7"/>
    </row>
    <row r="815">
      <c r="O815" s="7"/>
    </row>
    <row r="816">
      <c r="O816" s="7"/>
    </row>
    <row r="817">
      <c r="O817" s="7"/>
    </row>
    <row r="818">
      <c r="O818" s="7"/>
    </row>
    <row r="819">
      <c r="O819" s="7"/>
    </row>
    <row r="820">
      <c r="O820" s="7"/>
    </row>
    <row r="821">
      <c r="O821" s="7"/>
    </row>
    <row r="822">
      <c r="O822" s="7"/>
    </row>
    <row r="823">
      <c r="O823" s="7"/>
    </row>
    <row r="824">
      <c r="O824" s="7"/>
    </row>
    <row r="825">
      <c r="O825" s="7"/>
    </row>
    <row r="826">
      <c r="O826" s="7"/>
    </row>
    <row r="827">
      <c r="O827" s="7"/>
    </row>
    <row r="828">
      <c r="O828" s="7"/>
    </row>
    <row r="829">
      <c r="O829" s="7"/>
    </row>
    <row r="830">
      <c r="O830" s="7"/>
    </row>
    <row r="831">
      <c r="O831" s="7"/>
    </row>
    <row r="832">
      <c r="O832" s="7"/>
    </row>
    <row r="833">
      <c r="O833" s="7"/>
    </row>
    <row r="834">
      <c r="O834" s="7"/>
    </row>
    <row r="835">
      <c r="O835" s="7"/>
    </row>
    <row r="836">
      <c r="O836" s="7"/>
    </row>
    <row r="837">
      <c r="O837" s="7"/>
    </row>
    <row r="838">
      <c r="O838" s="7"/>
    </row>
    <row r="839">
      <c r="O839" s="7"/>
    </row>
    <row r="840">
      <c r="O840" s="7"/>
    </row>
    <row r="841">
      <c r="O841" s="7"/>
    </row>
    <row r="842">
      <c r="O842" s="7"/>
    </row>
    <row r="843">
      <c r="O843" s="7"/>
    </row>
    <row r="844">
      <c r="O844" s="7"/>
    </row>
    <row r="845">
      <c r="O845" s="7"/>
    </row>
    <row r="846">
      <c r="O846" s="7"/>
    </row>
    <row r="847">
      <c r="O847" s="7"/>
    </row>
    <row r="848">
      <c r="O848" s="7"/>
    </row>
    <row r="849">
      <c r="O849" s="7"/>
    </row>
    <row r="850">
      <c r="O850" s="7"/>
    </row>
    <row r="851">
      <c r="O851" s="7"/>
    </row>
    <row r="852">
      <c r="O852" s="7"/>
    </row>
    <row r="853">
      <c r="O853" s="7"/>
    </row>
    <row r="854">
      <c r="O854" s="7"/>
    </row>
    <row r="855">
      <c r="O855" s="7"/>
    </row>
    <row r="856">
      <c r="O856" s="7"/>
    </row>
    <row r="857">
      <c r="O857" s="7"/>
    </row>
    <row r="858">
      <c r="O858" s="7"/>
    </row>
    <row r="859">
      <c r="O859" s="7"/>
    </row>
    <row r="860">
      <c r="O860" s="7"/>
    </row>
    <row r="861">
      <c r="O861" s="7"/>
    </row>
    <row r="862">
      <c r="O862" s="7"/>
    </row>
    <row r="863">
      <c r="O863" s="7"/>
    </row>
    <row r="864">
      <c r="O864" s="7"/>
    </row>
    <row r="865">
      <c r="O865" s="7"/>
    </row>
    <row r="866">
      <c r="O866" s="7"/>
    </row>
    <row r="867">
      <c r="O867" s="7"/>
    </row>
    <row r="868">
      <c r="O868" s="7"/>
    </row>
    <row r="869">
      <c r="O869" s="7"/>
    </row>
    <row r="870">
      <c r="O870" s="7"/>
    </row>
    <row r="871">
      <c r="O871" s="7"/>
    </row>
    <row r="872">
      <c r="O872" s="7"/>
    </row>
    <row r="873">
      <c r="O873" s="7"/>
    </row>
    <row r="874">
      <c r="O874" s="7"/>
    </row>
    <row r="875">
      <c r="O875" s="7"/>
    </row>
    <row r="876">
      <c r="O876" s="7"/>
    </row>
    <row r="877">
      <c r="O877" s="7"/>
    </row>
    <row r="878">
      <c r="O878" s="7"/>
    </row>
    <row r="879">
      <c r="O879" s="7"/>
    </row>
    <row r="880">
      <c r="O880" s="7"/>
    </row>
    <row r="881">
      <c r="O881" s="7"/>
    </row>
    <row r="882">
      <c r="O882" s="7"/>
    </row>
    <row r="883">
      <c r="O883" s="7"/>
    </row>
    <row r="884">
      <c r="O884" s="7"/>
    </row>
    <row r="885">
      <c r="O885" s="7"/>
    </row>
    <row r="886">
      <c r="O886" s="7"/>
    </row>
    <row r="887">
      <c r="O887" s="7"/>
    </row>
    <row r="888">
      <c r="O888" s="7"/>
    </row>
    <row r="889">
      <c r="O889" s="7"/>
    </row>
    <row r="890">
      <c r="O890" s="7"/>
    </row>
    <row r="891">
      <c r="O891" s="7"/>
    </row>
    <row r="892">
      <c r="O892" s="7"/>
    </row>
    <row r="893">
      <c r="O893" s="7"/>
    </row>
    <row r="894">
      <c r="O894" s="7"/>
    </row>
    <row r="895">
      <c r="O895" s="7"/>
    </row>
    <row r="896">
      <c r="O896" s="7"/>
    </row>
    <row r="897">
      <c r="O897" s="7"/>
    </row>
    <row r="898">
      <c r="O898" s="7"/>
    </row>
    <row r="899">
      <c r="O899" s="7"/>
    </row>
    <row r="900">
      <c r="O900" s="7"/>
    </row>
    <row r="901">
      <c r="O901" s="7"/>
    </row>
    <row r="902">
      <c r="O902" s="7"/>
    </row>
    <row r="903">
      <c r="O903" s="7"/>
    </row>
    <row r="904">
      <c r="O904" s="7"/>
    </row>
    <row r="905">
      <c r="O905" s="7"/>
    </row>
    <row r="906">
      <c r="O906" s="7"/>
    </row>
    <row r="907">
      <c r="O907" s="7"/>
    </row>
    <row r="908">
      <c r="O908" s="7"/>
    </row>
    <row r="909">
      <c r="O909" s="7"/>
    </row>
    <row r="910">
      <c r="O910" s="7"/>
    </row>
    <row r="911">
      <c r="O911" s="7"/>
    </row>
    <row r="912">
      <c r="O912" s="7"/>
    </row>
    <row r="913">
      <c r="O913" s="7"/>
    </row>
    <row r="914">
      <c r="O914" s="7"/>
    </row>
    <row r="915">
      <c r="O915" s="7"/>
    </row>
    <row r="916">
      <c r="O916" s="7"/>
    </row>
    <row r="917">
      <c r="O917" s="7"/>
    </row>
    <row r="918">
      <c r="O918" s="7"/>
    </row>
    <row r="919">
      <c r="O919" s="7"/>
    </row>
    <row r="920">
      <c r="O920" s="7"/>
    </row>
    <row r="921">
      <c r="O921" s="7"/>
    </row>
    <row r="922">
      <c r="O922" s="7"/>
    </row>
    <row r="923">
      <c r="O923" s="7"/>
    </row>
    <row r="924">
      <c r="O924" s="7"/>
    </row>
    <row r="925">
      <c r="O925" s="7"/>
    </row>
    <row r="926">
      <c r="O926" s="7"/>
    </row>
    <row r="927">
      <c r="O927" s="7"/>
    </row>
    <row r="928">
      <c r="O928" s="7"/>
    </row>
    <row r="929">
      <c r="O929" s="7"/>
    </row>
    <row r="930">
      <c r="O930" s="7"/>
    </row>
    <row r="931">
      <c r="O931" s="7"/>
    </row>
    <row r="932">
      <c r="O932" s="7"/>
    </row>
    <row r="933">
      <c r="O933" s="7"/>
    </row>
    <row r="934">
      <c r="O934" s="7"/>
    </row>
    <row r="935">
      <c r="O935" s="7"/>
    </row>
    <row r="936">
      <c r="O936" s="7"/>
    </row>
    <row r="937">
      <c r="O937" s="7"/>
    </row>
    <row r="938">
      <c r="O938" s="7"/>
    </row>
    <row r="939">
      <c r="O939" s="7"/>
    </row>
    <row r="940">
      <c r="O940" s="7"/>
    </row>
    <row r="941">
      <c r="O941" s="7"/>
    </row>
    <row r="942">
      <c r="O942" s="7"/>
    </row>
    <row r="943">
      <c r="O943" s="7"/>
    </row>
    <row r="944">
      <c r="O944" s="7"/>
    </row>
    <row r="945">
      <c r="O945" s="7"/>
    </row>
    <row r="946">
      <c r="O946" s="7"/>
    </row>
    <row r="947">
      <c r="O947" s="7"/>
    </row>
    <row r="948">
      <c r="O948" s="7"/>
    </row>
    <row r="949">
      <c r="O949" s="7"/>
    </row>
    <row r="950">
      <c r="O950" s="7"/>
    </row>
    <row r="951">
      <c r="O951" s="7"/>
    </row>
    <row r="952">
      <c r="O952" s="7"/>
    </row>
    <row r="953">
      <c r="O953" s="7"/>
    </row>
    <row r="954">
      <c r="O954" s="7"/>
    </row>
    <row r="955">
      <c r="O955" s="7"/>
    </row>
    <row r="956">
      <c r="O956" s="7"/>
    </row>
    <row r="957">
      <c r="O957" s="7"/>
    </row>
    <row r="958">
      <c r="O958" s="7"/>
    </row>
    <row r="959">
      <c r="O959" s="7"/>
    </row>
    <row r="960">
      <c r="O960" s="7"/>
    </row>
    <row r="961">
      <c r="O961" s="7"/>
    </row>
    <row r="962">
      <c r="O962" s="7"/>
    </row>
    <row r="963">
      <c r="O963" s="7"/>
    </row>
    <row r="964">
      <c r="O964" s="7"/>
    </row>
    <row r="965">
      <c r="O965" s="7"/>
    </row>
    <row r="966">
      <c r="O966" s="7"/>
    </row>
    <row r="967">
      <c r="O967" s="7"/>
    </row>
    <row r="968">
      <c r="O968" s="7"/>
    </row>
    <row r="969">
      <c r="O969" s="7"/>
    </row>
    <row r="970">
      <c r="O970" s="7"/>
    </row>
    <row r="971">
      <c r="O971" s="7"/>
    </row>
    <row r="972">
      <c r="O972" s="7"/>
    </row>
    <row r="973">
      <c r="O973" s="7"/>
    </row>
    <row r="974">
      <c r="O974" s="7"/>
    </row>
    <row r="975">
      <c r="O975" s="7"/>
    </row>
    <row r="976">
      <c r="O976" s="7"/>
    </row>
    <row r="977">
      <c r="O977" s="7"/>
    </row>
    <row r="978">
      <c r="O978" s="7"/>
    </row>
    <row r="979">
      <c r="O979" s="7"/>
    </row>
    <row r="980">
      <c r="O980" s="7"/>
    </row>
    <row r="981">
      <c r="O981" s="7"/>
    </row>
    <row r="982">
      <c r="O982" s="7"/>
    </row>
    <row r="983">
      <c r="O983" s="7"/>
    </row>
    <row r="984">
      <c r="O984" s="7"/>
    </row>
    <row r="985">
      <c r="O985" s="7"/>
    </row>
    <row r="986">
      <c r="O986" s="7"/>
    </row>
    <row r="987">
      <c r="O987" s="7"/>
    </row>
    <row r="988">
      <c r="O988" s="7"/>
    </row>
    <row r="989">
      <c r="O989" s="7"/>
    </row>
    <row r="990">
      <c r="O990" s="7"/>
    </row>
    <row r="991">
      <c r="O991" s="7"/>
    </row>
    <row r="992">
      <c r="O992" s="7"/>
    </row>
    <row r="993">
      <c r="O993" s="7"/>
    </row>
    <row r="994">
      <c r="O994" s="7"/>
    </row>
    <row r="995">
      <c r="O995" s="7"/>
    </row>
    <row r="996">
      <c r="O996" s="7"/>
    </row>
    <row r="997">
      <c r="O997" s="7"/>
    </row>
    <row r="998">
      <c r="O998" s="7"/>
    </row>
    <row r="999">
      <c r="O999"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4.0"/>
    <col customWidth="1" min="5" max="5" width="27.75"/>
  </cols>
  <sheetData>
    <row r="1">
      <c r="A1" s="3" t="s">
        <v>345</v>
      </c>
      <c r="B1" s="3" t="s">
        <v>346</v>
      </c>
      <c r="C1" s="3" t="s">
        <v>46</v>
      </c>
      <c r="D1" s="3" t="s">
        <v>347</v>
      </c>
      <c r="E1" s="3" t="s">
        <v>313</v>
      </c>
      <c r="F1" s="3" t="s">
        <v>348</v>
      </c>
      <c r="G1" s="3" t="s">
        <v>42</v>
      </c>
      <c r="H1" s="3" t="s">
        <v>40</v>
      </c>
      <c r="I1" s="3" t="s">
        <v>56</v>
      </c>
      <c r="J1" s="3" t="s">
        <v>349</v>
      </c>
      <c r="K1" s="3" t="s">
        <v>350</v>
      </c>
      <c r="L1" s="3" t="s">
        <v>351</v>
      </c>
      <c r="M1" s="3" t="s">
        <v>352</v>
      </c>
      <c r="N1" s="3" t="s">
        <v>353</v>
      </c>
      <c r="O1" s="3" t="s">
        <v>354</v>
      </c>
      <c r="P1" s="3" t="s">
        <v>355</v>
      </c>
      <c r="Q1" s="3" t="s">
        <v>356</v>
      </c>
      <c r="R1" s="3" t="s">
        <v>48</v>
      </c>
      <c r="S1" s="3" t="s">
        <v>47</v>
      </c>
      <c r="T1" s="3" t="s">
        <v>357</v>
      </c>
      <c r="U1" s="3" t="s">
        <v>43</v>
      </c>
      <c r="V1" s="3" t="s">
        <v>358</v>
      </c>
      <c r="W1" s="3" t="s">
        <v>359</v>
      </c>
      <c r="X1" s="3" t="s">
        <v>360</v>
      </c>
      <c r="Y1" s="3" t="s">
        <v>361</v>
      </c>
      <c r="Z1" s="3" t="s">
        <v>362</v>
      </c>
      <c r="AA1" s="3" t="s">
        <v>37</v>
      </c>
      <c r="AB1" s="3" t="s">
        <v>363</v>
      </c>
      <c r="AC1" s="3" t="s">
        <v>12</v>
      </c>
      <c r="AD1" s="3" t="s">
        <v>364</v>
      </c>
      <c r="AE1" s="3" t="s">
        <v>365</v>
      </c>
      <c r="AF1" s="3" t="s">
        <v>366</v>
      </c>
      <c r="AG1" s="3" t="s">
        <v>367</v>
      </c>
      <c r="AH1" s="3" t="s">
        <v>368</v>
      </c>
      <c r="AI1" s="3" t="s">
        <v>369</v>
      </c>
      <c r="AJ1" s="3" t="s">
        <v>370</v>
      </c>
      <c r="AK1" s="3" t="s">
        <v>371</v>
      </c>
      <c r="AL1" s="3" t="s">
        <v>372</v>
      </c>
      <c r="AM1" s="3" t="s">
        <v>373</v>
      </c>
      <c r="AN1" s="3" t="s">
        <v>374</v>
      </c>
      <c r="AO1" s="3" t="s">
        <v>375</v>
      </c>
      <c r="AP1" s="3" t="s">
        <v>376</v>
      </c>
      <c r="AQ1" s="3" t="s">
        <v>377</v>
      </c>
      <c r="AR1" s="3" t="s">
        <v>378</v>
      </c>
      <c r="AS1" s="3" t="s">
        <v>379</v>
      </c>
      <c r="AT1" s="3" t="s">
        <v>380</v>
      </c>
      <c r="AU1" s="3" t="s">
        <v>381</v>
      </c>
      <c r="AV1" s="3" t="s">
        <v>382</v>
      </c>
      <c r="AW1" s="3" t="s">
        <v>383</v>
      </c>
      <c r="AX1" s="3" t="s">
        <v>384</v>
      </c>
      <c r="AY1" s="3" t="s">
        <v>385</v>
      </c>
      <c r="AZ1" s="3" t="s">
        <v>386</v>
      </c>
      <c r="BA1" s="3" t="s">
        <v>387</v>
      </c>
      <c r="BB1" s="3" t="s">
        <v>388</v>
      </c>
      <c r="BC1" s="3" t="s">
        <v>389</v>
      </c>
      <c r="BD1" s="3" t="s">
        <v>390</v>
      </c>
      <c r="BE1" s="3" t="s">
        <v>391</v>
      </c>
      <c r="BF1" s="3" t="s">
        <v>392</v>
      </c>
      <c r="BG1" s="3" t="s">
        <v>393</v>
      </c>
      <c r="BH1" s="3" t="s">
        <v>394</v>
      </c>
      <c r="BI1" s="3" t="s">
        <v>395</v>
      </c>
      <c r="BJ1" s="3" t="s">
        <v>396</v>
      </c>
      <c r="BK1" s="3" t="s">
        <v>397</v>
      </c>
      <c r="BL1" s="3" t="s">
        <v>398</v>
      </c>
      <c r="BM1" s="3" t="s">
        <v>399</v>
      </c>
      <c r="BN1" s="3" t="s">
        <v>400</v>
      </c>
      <c r="BO1" s="3" t="s">
        <v>401</v>
      </c>
      <c r="BP1" s="3" t="s">
        <v>402</v>
      </c>
      <c r="BQ1" s="3" t="s">
        <v>403</v>
      </c>
      <c r="BR1" s="3" t="s">
        <v>404</v>
      </c>
      <c r="BS1" s="3" t="s">
        <v>405</v>
      </c>
      <c r="BT1" s="3" t="s">
        <v>406</v>
      </c>
      <c r="BU1" s="3" t="s">
        <v>407</v>
      </c>
      <c r="BV1" s="3" t="s">
        <v>408</v>
      </c>
      <c r="BW1" s="3" t="s">
        <v>409</v>
      </c>
      <c r="BX1" s="3" t="s">
        <v>410</v>
      </c>
      <c r="BY1" s="3" t="s">
        <v>411</v>
      </c>
      <c r="BZ1" s="3" t="s">
        <v>412</v>
      </c>
      <c r="CA1" s="3" t="s">
        <v>413</v>
      </c>
      <c r="CB1" s="3" t="s">
        <v>414</v>
      </c>
      <c r="CC1" s="3" t="s">
        <v>415</v>
      </c>
      <c r="CD1" s="3" t="s">
        <v>416</v>
      </c>
      <c r="CE1" s="3" t="s">
        <v>417</v>
      </c>
      <c r="CF1" s="3" t="s">
        <v>418</v>
      </c>
      <c r="CG1" s="3" t="s">
        <v>419</v>
      </c>
      <c r="CH1" s="3" t="s">
        <v>420</v>
      </c>
      <c r="CI1" s="3" t="s">
        <v>421</v>
      </c>
    </row>
    <row r="2">
      <c r="A2" s="3" t="s">
        <v>422</v>
      </c>
      <c r="B2" s="3" t="s">
        <v>423</v>
      </c>
      <c r="C2" s="3">
        <v>2024.0</v>
      </c>
      <c r="D2" s="3" t="s">
        <v>424</v>
      </c>
      <c r="E2" s="3" t="s">
        <v>425</v>
      </c>
      <c r="F2" s="3" t="s">
        <v>426</v>
      </c>
      <c r="H2" s="3" t="s">
        <v>427</v>
      </c>
      <c r="I2" s="3" t="s">
        <v>428</v>
      </c>
      <c r="J2" s="8" t="s">
        <v>429</v>
      </c>
      <c r="K2" s="3" t="s">
        <v>430</v>
      </c>
      <c r="L2" s="3">
        <v>2024.0</v>
      </c>
      <c r="M2" s="9">
        <v>45977.67223379629</v>
      </c>
      <c r="N2" s="9">
        <v>45981.515706018516</v>
      </c>
      <c r="R2" s="3">
        <v>1.0</v>
      </c>
      <c r="S2" s="3">
        <v>7.0</v>
      </c>
      <c r="U2" s="3" t="s">
        <v>431</v>
      </c>
      <c r="AC2" s="3" t="s">
        <v>78</v>
      </c>
      <c r="AF2" s="3" t="s">
        <v>329</v>
      </c>
      <c r="AJ2" s="3" t="s">
        <v>432</v>
      </c>
      <c r="AN2" s="3" t="s">
        <v>433</v>
      </c>
    </row>
    <row r="3">
      <c r="A3" s="3" t="s">
        <v>434</v>
      </c>
      <c r="B3" s="3" t="s">
        <v>423</v>
      </c>
      <c r="C3" s="3">
        <v>2025.0</v>
      </c>
      <c r="D3" s="3" t="s">
        <v>435</v>
      </c>
      <c r="E3" s="3" t="s">
        <v>436</v>
      </c>
      <c r="F3" s="3" t="s">
        <v>437</v>
      </c>
      <c r="H3" s="3" t="s">
        <v>438</v>
      </c>
      <c r="I3" s="3" t="s">
        <v>439</v>
      </c>
      <c r="J3" s="8" t="s">
        <v>440</v>
      </c>
      <c r="K3" s="3" t="s">
        <v>441</v>
      </c>
      <c r="L3" s="3">
        <v>2025.0</v>
      </c>
      <c r="M3" s="9">
        <v>45977.67204861111</v>
      </c>
      <c r="N3" s="9">
        <v>45981.51180555556</v>
      </c>
      <c r="S3" s="3">
        <v>401.0</v>
      </c>
      <c r="U3" s="3" t="s">
        <v>442</v>
      </c>
      <c r="AC3" s="3" t="s">
        <v>78</v>
      </c>
      <c r="AF3" s="3" t="s">
        <v>329</v>
      </c>
      <c r="AJ3" s="3" t="s">
        <v>443</v>
      </c>
      <c r="AN3" s="3" t="s">
        <v>444</v>
      </c>
    </row>
    <row r="4">
      <c r="A4" s="3" t="s">
        <v>445</v>
      </c>
      <c r="B4" s="3" t="s">
        <v>446</v>
      </c>
      <c r="C4" s="3">
        <v>2023.0</v>
      </c>
      <c r="D4" s="3" t="s">
        <v>447</v>
      </c>
      <c r="E4" s="3" t="s">
        <v>448</v>
      </c>
      <c r="F4" s="3" t="s">
        <v>449</v>
      </c>
      <c r="G4" s="3" t="s">
        <v>450</v>
      </c>
      <c r="I4" s="3" t="s">
        <v>451</v>
      </c>
      <c r="J4" s="8" t="s">
        <v>452</v>
      </c>
      <c r="K4" s="3" t="s">
        <v>453</v>
      </c>
      <c r="L4" s="3">
        <v>2023.0</v>
      </c>
      <c r="M4" s="9">
        <v>45977.67244212963</v>
      </c>
      <c r="N4" s="9">
        <v>45981.51091435185</v>
      </c>
      <c r="AA4" s="3" t="s">
        <v>454</v>
      </c>
      <c r="AC4" s="3" t="s">
        <v>78</v>
      </c>
      <c r="AF4" s="3" t="s">
        <v>329</v>
      </c>
      <c r="AJ4" s="3" t="s">
        <v>455</v>
      </c>
      <c r="AN4" s="3" t="s">
        <v>456</v>
      </c>
    </row>
    <row r="5">
      <c r="A5" s="3" t="s">
        <v>457</v>
      </c>
      <c r="B5" s="3" t="s">
        <v>423</v>
      </c>
      <c r="C5" s="3">
        <v>2025.0</v>
      </c>
      <c r="D5" s="3" t="s">
        <v>458</v>
      </c>
      <c r="E5" s="3" t="s">
        <v>459</v>
      </c>
      <c r="F5" s="3" t="s">
        <v>460</v>
      </c>
      <c r="H5" s="3" t="s">
        <v>461</v>
      </c>
      <c r="I5" s="3" t="s">
        <v>462</v>
      </c>
      <c r="J5" s="8" t="s">
        <v>463</v>
      </c>
      <c r="K5" s="3" t="s">
        <v>464</v>
      </c>
      <c r="L5" s="3">
        <v>2025.0</v>
      </c>
      <c r="M5" s="9">
        <v>45977.672106481485</v>
      </c>
      <c r="N5" s="9">
        <v>45981.51070601852</v>
      </c>
      <c r="P5" s="3" t="s">
        <v>465</v>
      </c>
      <c r="R5" s="3">
        <v>8.0</v>
      </c>
      <c r="S5" s="3">
        <v>20.0</v>
      </c>
      <c r="U5" s="3" t="s">
        <v>466</v>
      </c>
      <c r="AC5" s="3" t="s">
        <v>78</v>
      </c>
      <c r="AF5" s="3" t="s">
        <v>329</v>
      </c>
      <c r="AJ5" s="3" t="s">
        <v>467</v>
      </c>
      <c r="AN5" s="3" t="s">
        <v>468</v>
      </c>
    </row>
    <row r="6">
      <c r="A6" s="3" t="s">
        <v>469</v>
      </c>
      <c r="B6" s="3" t="s">
        <v>423</v>
      </c>
      <c r="C6" s="3">
        <v>2025.0</v>
      </c>
      <c r="D6" s="3" t="s">
        <v>470</v>
      </c>
      <c r="E6" s="3" t="s">
        <v>471</v>
      </c>
      <c r="F6" s="3" t="s">
        <v>472</v>
      </c>
      <c r="H6" s="3" t="s">
        <v>473</v>
      </c>
      <c r="I6" s="3" t="s">
        <v>474</v>
      </c>
      <c r="J6" s="8" t="s">
        <v>475</v>
      </c>
      <c r="K6" s="3" t="s">
        <v>476</v>
      </c>
      <c r="L6" s="3">
        <v>2025.0</v>
      </c>
      <c r="M6" s="9">
        <v>45977.67215277778</v>
      </c>
      <c r="N6" s="9">
        <v>45981.50875</v>
      </c>
      <c r="R6" s="3">
        <v>8.0</v>
      </c>
      <c r="S6" s="3">
        <v>17.0</v>
      </c>
      <c r="U6" s="3" t="s">
        <v>477</v>
      </c>
      <c r="AC6" s="3" t="s">
        <v>78</v>
      </c>
      <c r="AF6" s="3" t="s">
        <v>329</v>
      </c>
      <c r="AJ6" s="3" t="s">
        <v>478</v>
      </c>
      <c r="AN6" s="3" t="s">
        <v>479</v>
      </c>
    </row>
    <row r="7">
      <c r="A7" s="3" t="s">
        <v>480</v>
      </c>
      <c r="B7" s="3" t="s">
        <v>423</v>
      </c>
      <c r="C7" s="3">
        <v>2025.0</v>
      </c>
      <c r="D7" s="3" t="s">
        <v>481</v>
      </c>
      <c r="E7" s="3" t="s">
        <v>482</v>
      </c>
      <c r="F7" s="3" t="s">
        <v>156</v>
      </c>
      <c r="H7" s="3" t="s">
        <v>483</v>
      </c>
      <c r="I7" s="3" t="s">
        <v>484</v>
      </c>
      <c r="J7" s="8" t="s">
        <v>485</v>
      </c>
      <c r="K7" s="3" t="s">
        <v>486</v>
      </c>
      <c r="L7" s="3">
        <v>2025.0</v>
      </c>
      <c r="M7" s="9">
        <v>45977.67221064815</v>
      </c>
      <c r="N7" s="9">
        <v>45981.50811342592</v>
      </c>
      <c r="P7" s="3" t="s">
        <v>487</v>
      </c>
      <c r="S7" s="3">
        <v>13.0</v>
      </c>
      <c r="U7" s="3" t="s">
        <v>156</v>
      </c>
      <c r="AC7" s="3" t="s">
        <v>78</v>
      </c>
      <c r="AF7" s="3" t="s">
        <v>329</v>
      </c>
      <c r="AJ7" s="3" t="s">
        <v>488</v>
      </c>
      <c r="AN7" s="3" t="s">
        <v>489</v>
      </c>
    </row>
    <row r="8">
      <c r="A8" s="3" t="s">
        <v>490</v>
      </c>
      <c r="B8" s="3" t="s">
        <v>423</v>
      </c>
      <c r="C8" s="3">
        <v>2024.0</v>
      </c>
      <c r="D8" s="3" t="s">
        <v>491</v>
      </c>
      <c r="E8" s="3" t="s">
        <v>492</v>
      </c>
      <c r="F8" s="3" t="s">
        <v>493</v>
      </c>
      <c r="H8" s="3" t="s">
        <v>494</v>
      </c>
      <c r="I8" s="3" t="s">
        <v>495</v>
      </c>
      <c r="J8" s="8" t="s">
        <v>496</v>
      </c>
      <c r="K8" s="3" t="s">
        <v>497</v>
      </c>
      <c r="L8" s="3">
        <v>2024.0</v>
      </c>
      <c r="M8" s="9">
        <v>45977.672372685185</v>
      </c>
      <c r="N8" s="9">
        <v>45981.50746527778</v>
      </c>
      <c r="P8" s="3" t="s">
        <v>498</v>
      </c>
      <c r="R8" s="3">
        <v>2.0</v>
      </c>
      <c r="S8" s="3">
        <v>40.0</v>
      </c>
      <c r="U8" s="3" t="s">
        <v>499</v>
      </c>
      <c r="AC8" s="3" t="s">
        <v>78</v>
      </c>
      <c r="AF8" s="3" t="s">
        <v>329</v>
      </c>
      <c r="AJ8" s="3" t="s">
        <v>500</v>
      </c>
      <c r="AN8" s="3" t="s">
        <v>501</v>
      </c>
    </row>
    <row r="9">
      <c r="A9" s="3" t="s">
        <v>502</v>
      </c>
      <c r="B9" s="3" t="s">
        <v>446</v>
      </c>
      <c r="C9" s="3">
        <v>2026.0</v>
      </c>
      <c r="D9" s="3" t="s">
        <v>503</v>
      </c>
      <c r="E9" s="3" t="s">
        <v>504</v>
      </c>
      <c r="F9" s="3" t="s">
        <v>505</v>
      </c>
      <c r="G9" s="3" t="s">
        <v>506</v>
      </c>
      <c r="I9" s="3" t="s">
        <v>507</v>
      </c>
      <c r="J9" s="8" t="s">
        <v>508</v>
      </c>
      <c r="K9" s="3" t="s">
        <v>509</v>
      </c>
      <c r="L9" s="3">
        <v>2026.0</v>
      </c>
      <c r="M9" s="9">
        <v>45977.67204861111</v>
      </c>
      <c r="N9" s="9">
        <v>45981.50262731482</v>
      </c>
      <c r="P9" s="3" t="s">
        <v>510</v>
      </c>
      <c r="S9" s="3" t="s">
        <v>511</v>
      </c>
      <c r="AA9" s="3" t="s">
        <v>512</v>
      </c>
      <c r="AC9" s="3" t="s">
        <v>78</v>
      </c>
      <c r="AF9" s="3" t="s">
        <v>329</v>
      </c>
      <c r="AJ9" s="3" t="s">
        <v>513</v>
      </c>
      <c r="AN9" s="3" t="s">
        <v>514</v>
      </c>
      <c r="AP9" s="3" t="s">
        <v>515</v>
      </c>
      <c r="BT9" s="3" t="s">
        <v>505</v>
      </c>
    </row>
    <row r="10">
      <c r="A10" s="3" t="s">
        <v>516</v>
      </c>
      <c r="B10" s="3" t="s">
        <v>446</v>
      </c>
      <c r="C10" s="3">
        <v>2023.0</v>
      </c>
      <c r="D10" s="3" t="s">
        <v>517</v>
      </c>
      <c r="E10" s="3" t="s">
        <v>518</v>
      </c>
      <c r="F10" s="3" t="s">
        <v>519</v>
      </c>
      <c r="G10" s="3" t="s">
        <v>520</v>
      </c>
      <c r="J10" s="8" t="s">
        <v>521</v>
      </c>
      <c r="K10" s="3" t="s">
        <v>522</v>
      </c>
      <c r="L10" s="3">
        <v>2023.0</v>
      </c>
      <c r="M10" s="9">
        <v>45977.67244212963</v>
      </c>
      <c r="N10" s="9">
        <v>45981.50177083333</v>
      </c>
      <c r="S10" s="3">
        <v>3645.0</v>
      </c>
      <c r="AA10" s="3" t="s">
        <v>523</v>
      </c>
      <c r="AC10" s="3" t="s">
        <v>78</v>
      </c>
      <c r="AF10" s="3" t="s">
        <v>329</v>
      </c>
      <c r="AJ10" s="3" t="s">
        <v>524</v>
      </c>
      <c r="AN10" s="3" t="s">
        <v>525</v>
      </c>
      <c r="AP10" s="3" t="s">
        <v>526</v>
      </c>
      <c r="BT10" s="3" t="s">
        <v>527</v>
      </c>
    </row>
    <row r="11">
      <c r="A11" s="3" t="s">
        <v>528</v>
      </c>
      <c r="B11" s="3" t="s">
        <v>423</v>
      </c>
      <c r="C11" s="3">
        <v>2021.0</v>
      </c>
      <c r="D11" s="3" t="s">
        <v>529</v>
      </c>
      <c r="E11" s="3" t="s">
        <v>530</v>
      </c>
      <c r="F11" s="3" t="s">
        <v>531</v>
      </c>
      <c r="H11" s="3" t="s">
        <v>532</v>
      </c>
      <c r="I11" s="3" t="s">
        <v>533</v>
      </c>
      <c r="J11" s="8" t="s">
        <v>534</v>
      </c>
      <c r="K11" s="3" t="s">
        <v>535</v>
      </c>
      <c r="L11" s="3">
        <v>2021.0</v>
      </c>
      <c r="M11" s="9">
        <v>45977.67254629629</v>
      </c>
      <c r="N11" s="9">
        <v>45981.50167824074</v>
      </c>
      <c r="R11" s="3">
        <v>12.0</v>
      </c>
      <c r="S11" s="3">
        <v>11.0</v>
      </c>
      <c r="U11" s="3" t="s">
        <v>536</v>
      </c>
      <c r="AC11" s="3" t="s">
        <v>78</v>
      </c>
      <c r="AF11" s="3" t="s">
        <v>329</v>
      </c>
      <c r="AJ11" s="3" t="s">
        <v>537</v>
      </c>
      <c r="AN11" s="3" t="s">
        <v>538</v>
      </c>
    </row>
    <row r="12">
      <c r="A12" s="3" t="s">
        <v>539</v>
      </c>
      <c r="B12" s="3" t="s">
        <v>423</v>
      </c>
      <c r="C12" s="3">
        <v>2025.0</v>
      </c>
      <c r="D12" s="3" t="s">
        <v>540</v>
      </c>
      <c r="E12" s="3" t="s">
        <v>541</v>
      </c>
      <c r="F12" s="3" t="s">
        <v>542</v>
      </c>
      <c r="H12" s="3" t="s">
        <v>543</v>
      </c>
      <c r="I12" s="3" t="s">
        <v>544</v>
      </c>
      <c r="J12" s="8" t="s">
        <v>545</v>
      </c>
      <c r="K12" s="3" t="s">
        <v>546</v>
      </c>
      <c r="L12" s="3">
        <v>2025.0</v>
      </c>
      <c r="M12" s="9">
        <v>45977.67207175926</v>
      </c>
      <c r="N12" s="9">
        <v>45981.50063657408</v>
      </c>
      <c r="P12" s="3" t="s">
        <v>547</v>
      </c>
      <c r="S12" s="3">
        <v>82.0</v>
      </c>
      <c r="U12" s="3" t="s">
        <v>548</v>
      </c>
      <c r="AC12" s="3" t="s">
        <v>78</v>
      </c>
      <c r="AF12" s="3" t="s">
        <v>329</v>
      </c>
      <c r="AJ12" s="3" t="s">
        <v>549</v>
      </c>
      <c r="AN12" s="3" t="s">
        <v>550</v>
      </c>
    </row>
    <row r="13">
      <c r="A13" s="3" t="s">
        <v>551</v>
      </c>
      <c r="B13" s="3" t="s">
        <v>423</v>
      </c>
      <c r="C13" s="3">
        <v>2023.0</v>
      </c>
      <c r="D13" s="3" t="s">
        <v>552</v>
      </c>
      <c r="E13" s="3" t="s">
        <v>553</v>
      </c>
      <c r="F13" s="3" t="s">
        <v>554</v>
      </c>
      <c r="H13" s="3" t="s">
        <v>555</v>
      </c>
      <c r="I13" s="3" t="s">
        <v>556</v>
      </c>
      <c r="J13" s="8" t="s">
        <v>557</v>
      </c>
      <c r="K13" s="3" t="s">
        <v>558</v>
      </c>
      <c r="L13" s="3">
        <v>2023.0</v>
      </c>
      <c r="M13" s="9">
        <v>45977.67239583333</v>
      </c>
      <c r="N13" s="9">
        <v>45981.49909722222</v>
      </c>
      <c r="P13" s="3" t="s">
        <v>559</v>
      </c>
      <c r="R13" s="3">
        <v>8.0</v>
      </c>
      <c r="S13" s="3">
        <v>65.0</v>
      </c>
      <c r="U13" s="3" t="s">
        <v>560</v>
      </c>
      <c r="AC13" s="3" t="s">
        <v>78</v>
      </c>
      <c r="AF13" s="3" t="s">
        <v>329</v>
      </c>
      <c r="AJ13" s="3" t="s">
        <v>561</v>
      </c>
      <c r="AN13" s="3" t="s">
        <v>562</v>
      </c>
    </row>
    <row r="14">
      <c r="A14" s="3" t="s">
        <v>563</v>
      </c>
      <c r="B14" s="3" t="s">
        <v>423</v>
      </c>
      <c r="C14" s="3">
        <v>2022.0</v>
      </c>
      <c r="D14" s="3" t="s">
        <v>564</v>
      </c>
      <c r="E14" s="3" t="s">
        <v>565</v>
      </c>
      <c r="F14" s="3" t="s">
        <v>566</v>
      </c>
      <c r="H14" s="3" t="s">
        <v>567</v>
      </c>
      <c r="I14" s="3" t="s">
        <v>568</v>
      </c>
      <c r="J14" s="8" t="s">
        <v>569</v>
      </c>
      <c r="K14" s="3" t="s">
        <v>570</v>
      </c>
      <c r="L14" s="3">
        <v>2022.0</v>
      </c>
      <c r="M14" s="9">
        <v>45977.672488425924</v>
      </c>
      <c r="N14" s="9">
        <v>45981.49894675926</v>
      </c>
      <c r="S14" s="3">
        <v>29.0</v>
      </c>
      <c r="U14" s="3" t="s">
        <v>571</v>
      </c>
      <c r="V14" s="3" t="s">
        <v>572</v>
      </c>
      <c r="AC14" s="3" t="s">
        <v>78</v>
      </c>
      <c r="AF14" s="3" t="s">
        <v>329</v>
      </c>
      <c r="AJ14" s="3" t="s">
        <v>573</v>
      </c>
      <c r="AN14" s="3" t="s">
        <v>574</v>
      </c>
    </row>
    <row r="15">
      <c r="A15" s="3" t="s">
        <v>575</v>
      </c>
      <c r="B15" s="3" t="s">
        <v>423</v>
      </c>
      <c r="C15" s="3">
        <v>2022.0</v>
      </c>
      <c r="D15" s="3" t="s">
        <v>576</v>
      </c>
      <c r="E15" s="3" t="s">
        <v>577</v>
      </c>
      <c r="F15" s="3" t="s">
        <v>578</v>
      </c>
      <c r="H15" s="3" t="s">
        <v>579</v>
      </c>
      <c r="I15" s="3" t="s">
        <v>580</v>
      </c>
      <c r="J15" s="8" t="s">
        <v>581</v>
      </c>
      <c r="K15" s="3" t="s">
        <v>582</v>
      </c>
      <c r="L15" s="3">
        <v>2022.0</v>
      </c>
      <c r="M15" s="9">
        <v>45977.67251157408</v>
      </c>
      <c r="N15" s="9">
        <v>45981.4896875</v>
      </c>
      <c r="P15" s="3" t="s">
        <v>583</v>
      </c>
      <c r="R15" s="3">
        <v>8.0</v>
      </c>
      <c r="S15" s="3">
        <v>60.0</v>
      </c>
      <c r="U15" s="3" t="s">
        <v>584</v>
      </c>
      <c r="AC15" s="3" t="s">
        <v>78</v>
      </c>
      <c r="AF15" s="3" t="s">
        <v>329</v>
      </c>
      <c r="AJ15" s="3" t="s">
        <v>500</v>
      </c>
      <c r="AN15" s="3" t="s">
        <v>585</v>
      </c>
    </row>
    <row r="16">
      <c r="A16" s="3" t="s">
        <v>586</v>
      </c>
      <c r="B16" s="3" t="s">
        <v>446</v>
      </c>
      <c r="C16" s="3">
        <v>2023.0</v>
      </c>
      <c r="D16" s="3" t="s">
        <v>587</v>
      </c>
      <c r="E16" s="3" t="s">
        <v>588</v>
      </c>
      <c r="F16" s="3" t="s">
        <v>589</v>
      </c>
      <c r="G16" s="3" t="s">
        <v>590</v>
      </c>
      <c r="I16" s="3" t="s">
        <v>591</v>
      </c>
      <c r="J16" s="8" t="s">
        <v>592</v>
      </c>
      <c r="K16" s="3" t="s">
        <v>593</v>
      </c>
      <c r="L16" s="3">
        <v>2023.0</v>
      </c>
      <c r="M16" s="9">
        <v>45977.6724537037</v>
      </c>
      <c r="N16" s="9">
        <v>45981.48405092592</v>
      </c>
      <c r="AA16" s="3" t="s">
        <v>454</v>
      </c>
      <c r="AC16" s="3" t="s">
        <v>78</v>
      </c>
      <c r="AF16" s="3" t="s">
        <v>329</v>
      </c>
      <c r="AJ16" s="3" t="s">
        <v>594</v>
      </c>
      <c r="AN16" s="3" t="s">
        <v>595</v>
      </c>
    </row>
    <row r="17">
      <c r="A17" s="3" t="s">
        <v>596</v>
      </c>
      <c r="B17" s="3" t="s">
        <v>446</v>
      </c>
      <c r="C17" s="3">
        <v>2025.0</v>
      </c>
      <c r="D17" s="3" t="s">
        <v>597</v>
      </c>
      <c r="E17" s="3" t="s">
        <v>598</v>
      </c>
      <c r="F17" s="3" t="s">
        <v>599</v>
      </c>
      <c r="G17" s="3" t="s">
        <v>600</v>
      </c>
      <c r="I17" s="3" t="s">
        <v>601</v>
      </c>
      <c r="J17" s="8" t="s">
        <v>602</v>
      </c>
      <c r="K17" s="3" t="s">
        <v>603</v>
      </c>
      <c r="L17" s="3">
        <v>2025.0</v>
      </c>
      <c r="M17" s="9">
        <v>45977.67222222222</v>
      </c>
      <c r="N17" s="9">
        <v>45981.48375</v>
      </c>
      <c r="P17" s="3" t="s">
        <v>604</v>
      </c>
      <c r="S17" s="3">
        <v>253.0</v>
      </c>
      <c r="AA17" s="3" t="s">
        <v>605</v>
      </c>
      <c r="AC17" s="3" t="s">
        <v>78</v>
      </c>
      <c r="AF17" s="3" t="s">
        <v>329</v>
      </c>
      <c r="AJ17" s="3" t="s">
        <v>606</v>
      </c>
      <c r="AN17" s="3" t="s">
        <v>607</v>
      </c>
      <c r="AP17" s="3" t="s">
        <v>608</v>
      </c>
      <c r="BT17" s="3" t="s">
        <v>609</v>
      </c>
    </row>
    <row r="18">
      <c r="A18" s="3" t="s">
        <v>610</v>
      </c>
      <c r="B18" s="3" t="s">
        <v>423</v>
      </c>
      <c r="C18" s="3">
        <v>2025.0</v>
      </c>
      <c r="D18" s="3" t="s">
        <v>611</v>
      </c>
      <c r="E18" s="3" t="s">
        <v>612</v>
      </c>
      <c r="F18" s="3" t="s">
        <v>613</v>
      </c>
      <c r="H18" s="3" t="s">
        <v>614</v>
      </c>
      <c r="I18" s="3" t="s">
        <v>615</v>
      </c>
      <c r="J18" s="8" t="s">
        <v>616</v>
      </c>
      <c r="K18" s="3" t="s">
        <v>617</v>
      </c>
      <c r="L18" s="3">
        <v>2025.0</v>
      </c>
      <c r="M18" s="9">
        <v>45977.6721412037</v>
      </c>
      <c r="N18" s="9">
        <v>45981.483252314814</v>
      </c>
      <c r="S18" s="3">
        <v>166.0</v>
      </c>
      <c r="U18" s="3" t="s">
        <v>618</v>
      </c>
      <c r="AC18" s="3" t="s">
        <v>78</v>
      </c>
      <c r="AF18" s="3" t="s">
        <v>329</v>
      </c>
      <c r="AJ18" s="3" t="s">
        <v>549</v>
      </c>
      <c r="AN18" s="3" t="s">
        <v>619</v>
      </c>
    </row>
    <row r="19">
      <c r="A19" s="3" t="s">
        <v>620</v>
      </c>
      <c r="B19" s="3" t="s">
        <v>423</v>
      </c>
      <c r="C19" s="3">
        <v>2025.0</v>
      </c>
      <c r="D19" s="3" t="s">
        <v>621</v>
      </c>
      <c r="E19" s="3" t="s">
        <v>622</v>
      </c>
      <c r="F19" s="3" t="s">
        <v>156</v>
      </c>
      <c r="H19" s="3" t="s">
        <v>483</v>
      </c>
      <c r="I19" s="3" t="s">
        <v>623</v>
      </c>
      <c r="J19" s="8" t="s">
        <v>624</v>
      </c>
      <c r="K19" s="3" t="s">
        <v>625</v>
      </c>
      <c r="L19" s="3">
        <v>2025.0</v>
      </c>
      <c r="M19" s="9">
        <v>45977.67221064815</v>
      </c>
      <c r="N19" s="9">
        <v>45981.47678240741</v>
      </c>
      <c r="P19" s="3" t="s">
        <v>626</v>
      </c>
      <c r="S19" s="3">
        <v>13.0</v>
      </c>
      <c r="U19" s="3" t="s">
        <v>156</v>
      </c>
      <c r="AC19" s="3" t="s">
        <v>78</v>
      </c>
      <c r="AF19" s="3" t="s">
        <v>329</v>
      </c>
      <c r="AJ19" s="3" t="s">
        <v>488</v>
      </c>
      <c r="AN19" s="3" t="s">
        <v>627</v>
      </c>
    </row>
    <row r="20">
      <c r="A20" s="3" t="s">
        <v>628</v>
      </c>
      <c r="B20" s="3" t="s">
        <v>423</v>
      </c>
      <c r="C20" s="3">
        <v>2024.0</v>
      </c>
      <c r="D20" s="3" t="s">
        <v>629</v>
      </c>
      <c r="E20" s="3" t="s">
        <v>630</v>
      </c>
      <c r="F20" s="3" t="s">
        <v>531</v>
      </c>
      <c r="H20" s="3" t="s">
        <v>532</v>
      </c>
      <c r="I20" s="3" t="s">
        <v>631</v>
      </c>
      <c r="J20" s="8" t="s">
        <v>632</v>
      </c>
      <c r="K20" s="3" t="s">
        <v>633</v>
      </c>
      <c r="L20" s="3">
        <v>2024.0</v>
      </c>
      <c r="M20" s="9">
        <v>45977.67230324074</v>
      </c>
      <c r="N20" s="9">
        <v>45981.47584490741</v>
      </c>
      <c r="R20" s="3">
        <v>3.0</v>
      </c>
      <c r="S20" s="3">
        <v>14.0</v>
      </c>
      <c r="U20" s="3" t="s">
        <v>536</v>
      </c>
      <c r="AC20" s="3" t="s">
        <v>78</v>
      </c>
      <c r="AF20" s="3" t="s">
        <v>329</v>
      </c>
      <c r="AJ20" s="3" t="s">
        <v>478</v>
      </c>
      <c r="AN20" s="3" t="s">
        <v>634</v>
      </c>
    </row>
    <row r="21">
      <c r="A21" s="3" t="s">
        <v>635</v>
      </c>
      <c r="B21" s="3" t="s">
        <v>423</v>
      </c>
      <c r="C21" s="3">
        <v>2025.0</v>
      </c>
      <c r="D21" s="3" t="s">
        <v>636</v>
      </c>
      <c r="E21" s="3" t="s">
        <v>637</v>
      </c>
      <c r="F21" s="3" t="s">
        <v>638</v>
      </c>
      <c r="H21" s="3" t="s">
        <v>639</v>
      </c>
      <c r="I21" s="3" t="s">
        <v>640</v>
      </c>
      <c r="J21" s="8" t="s">
        <v>641</v>
      </c>
      <c r="K21" s="3" t="s">
        <v>642</v>
      </c>
      <c r="L21" s="3">
        <v>2025.0</v>
      </c>
      <c r="M21" s="9">
        <v>45977.672060185185</v>
      </c>
      <c r="N21" s="9">
        <v>45981.47056712963</v>
      </c>
      <c r="S21" s="3">
        <v>114.0</v>
      </c>
      <c r="U21" s="3" t="s">
        <v>643</v>
      </c>
      <c r="AC21" s="3" t="s">
        <v>78</v>
      </c>
      <c r="AF21" s="3" t="s">
        <v>329</v>
      </c>
      <c r="AJ21" s="3" t="s">
        <v>443</v>
      </c>
      <c r="AN21" s="3" t="s">
        <v>644</v>
      </c>
    </row>
    <row r="22">
      <c r="A22" s="3" t="s">
        <v>645</v>
      </c>
      <c r="B22" s="3" t="s">
        <v>423</v>
      </c>
      <c r="C22" s="3">
        <v>2020.0</v>
      </c>
      <c r="D22" s="3" t="s">
        <v>646</v>
      </c>
      <c r="E22" s="3" t="s">
        <v>76</v>
      </c>
      <c r="F22" s="3" t="s">
        <v>647</v>
      </c>
      <c r="H22" s="3" t="s">
        <v>648</v>
      </c>
      <c r="I22" s="3" t="s">
        <v>101</v>
      </c>
      <c r="J22" s="8" t="s">
        <v>649</v>
      </c>
      <c r="K22" s="3" t="s">
        <v>650</v>
      </c>
      <c r="L22" s="3">
        <v>2020.0</v>
      </c>
      <c r="M22" s="9">
        <v>45977.67256944445</v>
      </c>
      <c r="N22" s="9">
        <v>45981.46766203704</v>
      </c>
      <c r="P22" s="3" t="s">
        <v>651</v>
      </c>
      <c r="S22" s="3">
        <v>29.0</v>
      </c>
      <c r="U22" s="3" t="s">
        <v>98</v>
      </c>
      <c r="AC22" s="3" t="s">
        <v>78</v>
      </c>
      <c r="AF22" s="3" t="s">
        <v>329</v>
      </c>
      <c r="AJ22" s="3" t="s">
        <v>443</v>
      </c>
      <c r="AN22" s="3" t="s">
        <v>652</v>
      </c>
    </row>
    <row r="23">
      <c r="A23" s="3" t="s">
        <v>653</v>
      </c>
      <c r="B23" s="3" t="s">
        <v>423</v>
      </c>
      <c r="C23" s="3">
        <v>2024.0</v>
      </c>
      <c r="D23" s="3" t="s">
        <v>654</v>
      </c>
      <c r="E23" s="3" t="s">
        <v>655</v>
      </c>
      <c r="F23" s="3" t="s">
        <v>656</v>
      </c>
      <c r="H23" s="3" t="s">
        <v>657</v>
      </c>
      <c r="I23" s="3" t="s">
        <v>658</v>
      </c>
      <c r="J23" s="8" t="s">
        <v>659</v>
      </c>
      <c r="K23" s="3" t="s">
        <v>660</v>
      </c>
      <c r="L23" s="3">
        <v>2024.0</v>
      </c>
      <c r="M23" s="9">
        <v>45977.67229166667</v>
      </c>
      <c r="N23" s="9">
        <v>45981.46512731481</v>
      </c>
      <c r="P23" s="3" t="s">
        <v>661</v>
      </c>
      <c r="S23" s="3">
        <v>153.0</v>
      </c>
      <c r="U23" s="3" t="s">
        <v>662</v>
      </c>
      <c r="AC23" s="3" t="s">
        <v>78</v>
      </c>
      <c r="AF23" s="3" t="s">
        <v>329</v>
      </c>
      <c r="AJ23" s="3" t="s">
        <v>549</v>
      </c>
      <c r="AN23" s="3" t="s">
        <v>663</v>
      </c>
    </row>
    <row r="24">
      <c r="A24" s="3" t="s">
        <v>664</v>
      </c>
      <c r="B24" s="3" t="s">
        <v>423</v>
      </c>
      <c r="C24" s="3">
        <v>2024.0</v>
      </c>
      <c r="D24" s="3" t="s">
        <v>665</v>
      </c>
      <c r="E24" s="3" t="s">
        <v>666</v>
      </c>
      <c r="F24" s="3" t="s">
        <v>667</v>
      </c>
      <c r="H24" s="3" t="s">
        <v>668</v>
      </c>
      <c r="I24" s="3" t="s">
        <v>669</v>
      </c>
      <c r="J24" s="8" t="s">
        <v>670</v>
      </c>
      <c r="K24" s="3" t="s">
        <v>671</v>
      </c>
      <c r="L24" s="3">
        <v>2024.0</v>
      </c>
      <c r="M24" s="9">
        <v>45977.67229166667</v>
      </c>
      <c r="N24" s="9">
        <v>45981.46318287037</v>
      </c>
      <c r="S24" s="3">
        <v>151.0</v>
      </c>
      <c r="U24" s="3" t="s">
        <v>672</v>
      </c>
      <c r="AC24" s="3" t="s">
        <v>78</v>
      </c>
      <c r="AF24" s="3" t="s">
        <v>329</v>
      </c>
      <c r="AJ24" s="3" t="s">
        <v>549</v>
      </c>
      <c r="AN24" s="3" t="s">
        <v>673</v>
      </c>
    </row>
    <row r="25">
      <c r="A25" s="3" t="s">
        <v>674</v>
      </c>
      <c r="B25" s="3" t="s">
        <v>423</v>
      </c>
      <c r="C25" s="3">
        <v>2024.0</v>
      </c>
      <c r="D25" s="3" t="s">
        <v>675</v>
      </c>
      <c r="E25" s="3" t="s">
        <v>676</v>
      </c>
      <c r="F25" s="3" t="s">
        <v>677</v>
      </c>
      <c r="H25" s="3" t="s">
        <v>678</v>
      </c>
      <c r="I25" s="3" t="s">
        <v>679</v>
      </c>
      <c r="J25" s="8" t="s">
        <v>680</v>
      </c>
      <c r="K25" s="3" t="s">
        <v>681</v>
      </c>
      <c r="L25" s="3">
        <v>2024.0</v>
      </c>
      <c r="M25" s="9">
        <v>45977.67230324074</v>
      </c>
      <c r="N25" s="9">
        <v>45981.46129629629</v>
      </c>
      <c r="P25" s="3" t="s">
        <v>682</v>
      </c>
      <c r="R25" s="3">
        <v>13.0</v>
      </c>
      <c r="S25" s="3">
        <v>30.0</v>
      </c>
      <c r="U25" s="3" t="s">
        <v>683</v>
      </c>
      <c r="AC25" s="3" t="s">
        <v>78</v>
      </c>
      <c r="AF25" s="3" t="s">
        <v>329</v>
      </c>
      <c r="AJ25" s="3" t="s">
        <v>684</v>
      </c>
      <c r="AN25" s="3" t="s">
        <v>685</v>
      </c>
    </row>
    <row r="26">
      <c r="A26" s="3" t="s">
        <v>686</v>
      </c>
      <c r="B26" s="3" t="s">
        <v>423</v>
      </c>
      <c r="C26" s="3">
        <v>2024.0</v>
      </c>
      <c r="D26" s="3" t="s">
        <v>687</v>
      </c>
      <c r="E26" s="3" t="s">
        <v>688</v>
      </c>
      <c r="F26" s="3" t="s">
        <v>156</v>
      </c>
      <c r="H26" s="3" t="s">
        <v>483</v>
      </c>
      <c r="I26" s="3" t="s">
        <v>689</v>
      </c>
      <c r="J26" s="8" t="s">
        <v>690</v>
      </c>
      <c r="K26" s="3" t="s">
        <v>691</v>
      </c>
      <c r="L26" s="3">
        <v>2024.0</v>
      </c>
      <c r="M26" s="9">
        <v>45977.672314814816</v>
      </c>
      <c r="N26" s="9">
        <v>45981.45909722222</v>
      </c>
      <c r="P26" s="3" t="s">
        <v>692</v>
      </c>
      <c r="S26" s="3">
        <v>12.0</v>
      </c>
      <c r="U26" s="3" t="s">
        <v>156</v>
      </c>
      <c r="AC26" s="3" t="s">
        <v>78</v>
      </c>
      <c r="AF26" s="3" t="s">
        <v>329</v>
      </c>
      <c r="AJ26" s="3" t="s">
        <v>488</v>
      </c>
      <c r="AN26" s="3" t="s">
        <v>693</v>
      </c>
    </row>
    <row r="27">
      <c r="A27" s="3" t="s">
        <v>694</v>
      </c>
      <c r="B27" s="3" t="s">
        <v>423</v>
      </c>
      <c r="C27" s="3">
        <v>2023.0</v>
      </c>
      <c r="D27" s="3" t="s">
        <v>695</v>
      </c>
      <c r="E27" s="3" t="s">
        <v>190</v>
      </c>
      <c r="F27" s="3" t="s">
        <v>696</v>
      </c>
      <c r="H27" s="3" t="s">
        <v>697</v>
      </c>
      <c r="I27" s="3" t="s">
        <v>212</v>
      </c>
      <c r="J27" s="8" t="s">
        <v>698</v>
      </c>
      <c r="K27" s="3" t="s">
        <v>699</v>
      </c>
      <c r="L27" s="3">
        <v>2023.0</v>
      </c>
      <c r="M27" s="9">
        <v>45977.67246527778</v>
      </c>
      <c r="N27" s="9">
        <v>45980.90857638889</v>
      </c>
      <c r="S27" s="3">
        <v>55.0</v>
      </c>
      <c r="U27" s="3" t="s">
        <v>700</v>
      </c>
      <c r="AC27" s="3" t="s">
        <v>78</v>
      </c>
      <c r="AF27" s="3" t="s">
        <v>329</v>
      </c>
      <c r="AJ27" s="3" t="s">
        <v>443</v>
      </c>
      <c r="AN27" s="3" t="s">
        <v>701</v>
      </c>
    </row>
    <row r="28">
      <c r="A28" s="3" t="s">
        <v>702</v>
      </c>
      <c r="B28" s="3" t="s">
        <v>423</v>
      </c>
      <c r="C28" s="3">
        <v>2025.0</v>
      </c>
      <c r="D28" s="3" t="s">
        <v>703</v>
      </c>
      <c r="E28" s="3" t="s">
        <v>704</v>
      </c>
      <c r="F28" s="3" t="s">
        <v>705</v>
      </c>
      <c r="H28" s="3" t="s">
        <v>706</v>
      </c>
      <c r="I28" s="3" t="s">
        <v>707</v>
      </c>
      <c r="J28" s="8" t="s">
        <v>708</v>
      </c>
      <c r="K28" s="3" t="s">
        <v>709</v>
      </c>
      <c r="L28" s="3">
        <v>2025.0</v>
      </c>
      <c r="M28" s="9">
        <v>45977.67208333333</v>
      </c>
      <c r="N28" s="9">
        <v>45980.90553240741</v>
      </c>
      <c r="R28" s="3">
        <v>9.0</v>
      </c>
      <c r="S28" s="3">
        <v>13.0</v>
      </c>
      <c r="U28" s="3" t="s">
        <v>710</v>
      </c>
      <c r="AC28" s="3" t="s">
        <v>78</v>
      </c>
      <c r="AF28" s="3" t="s">
        <v>329</v>
      </c>
      <c r="AJ28" s="3" t="s">
        <v>478</v>
      </c>
      <c r="AN28" s="3" t="s">
        <v>711</v>
      </c>
    </row>
    <row r="29">
      <c r="A29" s="3" t="s">
        <v>712</v>
      </c>
      <c r="B29" s="3" t="s">
        <v>423</v>
      </c>
      <c r="C29" s="3">
        <v>2025.0</v>
      </c>
      <c r="D29" s="3" t="s">
        <v>713</v>
      </c>
      <c r="E29" s="3" t="s">
        <v>714</v>
      </c>
      <c r="F29" s="3" t="s">
        <v>472</v>
      </c>
      <c r="H29" s="3" t="s">
        <v>473</v>
      </c>
      <c r="I29" s="3" t="s">
        <v>715</v>
      </c>
      <c r="J29" s="8" t="s">
        <v>716</v>
      </c>
      <c r="K29" s="3" t="s">
        <v>717</v>
      </c>
      <c r="L29" s="3">
        <v>2025.0</v>
      </c>
      <c r="M29" s="9">
        <v>45977.67215277778</v>
      </c>
      <c r="N29" s="9">
        <v>45980.904502314814</v>
      </c>
      <c r="R29" s="3">
        <v>5.0</v>
      </c>
      <c r="S29" s="3">
        <v>17.0</v>
      </c>
      <c r="U29" s="3" t="s">
        <v>477</v>
      </c>
      <c r="AC29" s="3" t="s">
        <v>78</v>
      </c>
      <c r="AF29" s="3" t="s">
        <v>329</v>
      </c>
      <c r="AJ29" s="3" t="s">
        <v>478</v>
      </c>
      <c r="AN29" s="3" t="s">
        <v>718</v>
      </c>
    </row>
    <row r="30">
      <c r="A30" s="3" t="s">
        <v>719</v>
      </c>
      <c r="B30" s="3" t="s">
        <v>720</v>
      </c>
      <c r="C30" s="3">
        <v>2022.0</v>
      </c>
      <c r="D30" s="3" t="s">
        <v>721</v>
      </c>
      <c r="E30" s="3" t="s">
        <v>722</v>
      </c>
      <c r="F30" s="3" t="s">
        <v>723</v>
      </c>
      <c r="G30" s="3" t="s">
        <v>724</v>
      </c>
      <c r="J30" s="8" t="s">
        <v>725</v>
      </c>
      <c r="K30" s="3" t="s">
        <v>726</v>
      </c>
      <c r="L30" s="3">
        <v>2022.0</v>
      </c>
      <c r="M30" s="9">
        <v>45977.672488425924</v>
      </c>
      <c r="N30" s="9">
        <v>45980.8965625</v>
      </c>
      <c r="P30" s="3" t="s">
        <v>727</v>
      </c>
      <c r="AA30" s="3" t="s">
        <v>728</v>
      </c>
      <c r="AC30" s="3" t="s">
        <v>78</v>
      </c>
      <c r="AF30" s="3" t="s">
        <v>329</v>
      </c>
      <c r="AJ30" s="3" t="s">
        <v>729</v>
      </c>
      <c r="AN30" s="3" t="s">
        <v>730</v>
      </c>
    </row>
    <row r="31">
      <c r="A31" s="3" t="s">
        <v>731</v>
      </c>
      <c r="B31" s="3" t="s">
        <v>423</v>
      </c>
      <c r="C31" s="3">
        <v>2024.0</v>
      </c>
      <c r="D31" s="3" t="s">
        <v>732</v>
      </c>
      <c r="E31" s="3" t="s">
        <v>733</v>
      </c>
      <c r="F31" s="3" t="s">
        <v>734</v>
      </c>
      <c r="H31" s="3" t="s">
        <v>735</v>
      </c>
      <c r="I31" s="3" t="s">
        <v>736</v>
      </c>
      <c r="J31" s="8" t="s">
        <v>737</v>
      </c>
      <c r="K31" s="3" t="s">
        <v>738</v>
      </c>
      <c r="L31" s="3">
        <v>2024.0</v>
      </c>
      <c r="M31" s="9">
        <v>45977.672268518516</v>
      </c>
      <c r="N31" s="9">
        <v>45980.880266203705</v>
      </c>
      <c r="S31" s="3">
        <v>320.0</v>
      </c>
      <c r="U31" s="3" t="s">
        <v>739</v>
      </c>
      <c r="AC31" s="3" t="s">
        <v>78</v>
      </c>
      <c r="AF31" s="3" t="s">
        <v>329</v>
      </c>
      <c r="AJ31" s="3" t="s">
        <v>443</v>
      </c>
      <c r="AN31" s="3" t="s">
        <v>740</v>
      </c>
    </row>
    <row r="32">
      <c r="A32" s="3" t="s">
        <v>741</v>
      </c>
      <c r="B32" s="3" t="s">
        <v>423</v>
      </c>
      <c r="C32" s="3">
        <v>2024.0</v>
      </c>
      <c r="D32" s="3" t="s">
        <v>742</v>
      </c>
      <c r="E32" s="3" t="s">
        <v>743</v>
      </c>
      <c r="F32" s="3" t="s">
        <v>744</v>
      </c>
      <c r="H32" s="3" t="s">
        <v>745</v>
      </c>
      <c r="I32" s="3" t="s">
        <v>746</v>
      </c>
      <c r="J32" s="8" t="s">
        <v>747</v>
      </c>
      <c r="K32" s="3" t="s">
        <v>748</v>
      </c>
      <c r="L32" s="3">
        <v>2024.0</v>
      </c>
      <c r="M32" s="9">
        <v>45977.67225694445</v>
      </c>
      <c r="N32" s="9">
        <v>45980.878796296296</v>
      </c>
      <c r="R32" s="3">
        <v>19.0</v>
      </c>
      <c r="S32" s="3">
        <v>16.0</v>
      </c>
      <c r="U32" s="3" t="s">
        <v>749</v>
      </c>
      <c r="AC32" s="3" t="s">
        <v>78</v>
      </c>
      <c r="AF32" s="3" t="s">
        <v>329</v>
      </c>
      <c r="AJ32" s="3" t="s">
        <v>478</v>
      </c>
      <c r="AN32" s="3" t="s">
        <v>750</v>
      </c>
    </row>
    <row r="33">
      <c r="A33" s="3" t="s">
        <v>751</v>
      </c>
      <c r="B33" s="3" t="s">
        <v>423</v>
      </c>
      <c r="C33" s="3">
        <v>2025.0</v>
      </c>
      <c r="D33" s="3" t="s">
        <v>752</v>
      </c>
      <c r="E33" s="3" t="s">
        <v>753</v>
      </c>
      <c r="F33" s="3" t="s">
        <v>754</v>
      </c>
      <c r="H33" s="3" t="s">
        <v>755</v>
      </c>
      <c r="I33" s="3" t="s">
        <v>756</v>
      </c>
      <c r="J33" s="8" t="s">
        <v>757</v>
      </c>
      <c r="K33" s="3" t="s">
        <v>758</v>
      </c>
      <c r="L33" s="3">
        <v>2025.0</v>
      </c>
      <c r="M33" s="9">
        <v>45977.67212962963</v>
      </c>
      <c r="N33" s="9">
        <v>45980.877488425926</v>
      </c>
      <c r="R33" s="3">
        <v>6.0</v>
      </c>
      <c r="S33" s="3">
        <v>9.0</v>
      </c>
      <c r="U33" s="3" t="s">
        <v>759</v>
      </c>
      <c r="AC33" s="3" t="s">
        <v>78</v>
      </c>
      <c r="AF33" s="3" t="s">
        <v>329</v>
      </c>
      <c r="AJ33" s="3" t="s">
        <v>478</v>
      </c>
      <c r="AN33" s="3" t="s">
        <v>760</v>
      </c>
    </row>
    <row r="34">
      <c r="A34" s="3" t="s">
        <v>761</v>
      </c>
      <c r="B34" s="3" t="s">
        <v>446</v>
      </c>
      <c r="C34" s="3">
        <v>2025.0</v>
      </c>
      <c r="D34" s="3" t="s">
        <v>762</v>
      </c>
      <c r="E34" s="3" t="s">
        <v>763</v>
      </c>
      <c r="F34" s="3" t="s">
        <v>764</v>
      </c>
      <c r="G34" s="3" t="s">
        <v>765</v>
      </c>
      <c r="I34" s="3" t="s">
        <v>766</v>
      </c>
      <c r="J34" s="8" t="s">
        <v>767</v>
      </c>
      <c r="K34" s="3" t="s">
        <v>768</v>
      </c>
      <c r="L34" s="3">
        <v>2025.0</v>
      </c>
      <c r="M34" s="9">
        <v>45977.67221064815</v>
      </c>
      <c r="N34" s="9">
        <v>45980.87296296296</v>
      </c>
      <c r="P34" s="3" t="s">
        <v>769</v>
      </c>
      <c r="AA34" s="3" t="s">
        <v>454</v>
      </c>
      <c r="AC34" s="3" t="s">
        <v>78</v>
      </c>
      <c r="AF34" s="3" t="s">
        <v>329</v>
      </c>
      <c r="AJ34" s="3" t="s">
        <v>770</v>
      </c>
      <c r="AN34" s="3" t="s">
        <v>771</v>
      </c>
    </row>
    <row r="35">
      <c r="A35" s="3" t="s">
        <v>772</v>
      </c>
      <c r="B35" s="3" t="s">
        <v>423</v>
      </c>
      <c r="C35" s="3">
        <v>2024.0</v>
      </c>
      <c r="D35" s="3" t="s">
        <v>773</v>
      </c>
      <c r="E35" s="3" t="s">
        <v>774</v>
      </c>
      <c r="F35" s="3" t="s">
        <v>775</v>
      </c>
      <c r="H35" s="3" t="s">
        <v>776</v>
      </c>
      <c r="I35" s="3" t="s">
        <v>777</v>
      </c>
      <c r="J35" s="8" t="s">
        <v>778</v>
      </c>
      <c r="K35" s="3" t="s">
        <v>779</v>
      </c>
      <c r="L35" s="3">
        <v>2024.0</v>
      </c>
      <c r="M35" s="9">
        <v>45977.672268518516</v>
      </c>
      <c r="N35" s="9">
        <v>45980.8669212963</v>
      </c>
      <c r="S35" s="3">
        <v>174.0</v>
      </c>
      <c r="U35" s="3" t="s">
        <v>780</v>
      </c>
      <c r="AC35" s="3" t="s">
        <v>78</v>
      </c>
      <c r="AF35" s="3" t="s">
        <v>329</v>
      </c>
      <c r="AJ35" s="3" t="s">
        <v>549</v>
      </c>
      <c r="AN35" s="3" t="s">
        <v>781</v>
      </c>
    </row>
    <row r="36">
      <c r="A36" s="3" t="s">
        <v>782</v>
      </c>
      <c r="B36" s="3" t="s">
        <v>423</v>
      </c>
      <c r="C36" s="3">
        <v>2025.0</v>
      </c>
      <c r="D36" s="3" t="s">
        <v>783</v>
      </c>
      <c r="E36" s="3" t="s">
        <v>784</v>
      </c>
      <c r="F36" s="3" t="s">
        <v>531</v>
      </c>
      <c r="H36" s="3" t="s">
        <v>532</v>
      </c>
      <c r="I36" s="3" t="s">
        <v>785</v>
      </c>
      <c r="J36" s="8" t="s">
        <v>786</v>
      </c>
      <c r="K36" s="3" t="s">
        <v>787</v>
      </c>
      <c r="L36" s="3">
        <v>2025.0</v>
      </c>
      <c r="M36" s="9">
        <v>45977.67215277778</v>
      </c>
      <c r="N36" s="9">
        <v>45980.858935185184</v>
      </c>
      <c r="R36" s="3">
        <v>6.0</v>
      </c>
      <c r="S36" s="3">
        <v>15.0</v>
      </c>
      <c r="U36" s="3" t="s">
        <v>536</v>
      </c>
      <c r="AC36" s="3" t="s">
        <v>78</v>
      </c>
      <c r="AF36" s="3" t="s">
        <v>329</v>
      </c>
      <c r="AJ36" s="3" t="s">
        <v>478</v>
      </c>
      <c r="AN36" s="3" t="s">
        <v>788</v>
      </c>
    </row>
    <row r="37">
      <c r="A37" s="3" t="s">
        <v>789</v>
      </c>
      <c r="B37" s="3" t="s">
        <v>423</v>
      </c>
      <c r="C37" s="3">
        <v>2025.0</v>
      </c>
      <c r="D37" s="3" t="s">
        <v>790</v>
      </c>
      <c r="E37" s="3" t="s">
        <v>791</v>
      </c>
      <c r="F37" s="3" t="s">
        <v>792</v>
      </c>
      <c r="H37" s="3" t="s">
        <v>793</v>
      </c>
      <c r="I37" s="3" t="s">
        <v>794</v>
      </c>
      <c r="J37" s="8" t="s">
        <v>795</v>
      </c>
      <c r="K37" s="3" t="s">
        <v>796</v>
      </c>
      <c r="L37" s="3">
        <v>2025.0</v>
      </c>
      <c r="M37" s="9">
        <v>45977.67207175926</v>
      </c>
      <c r="N37" s="9">
        <v>45980.85599537037</v>
      </c>
      <c r="R37" s="3">
        <v>5.0</v>
      </c>
      <c r="S37" s="3">
        <v>8.0</v>
      </c>
      <c r="U37" s="3" t="s">
        <v>797</v>
      </c>
      <c r="AC37" s="3" t="s">
        <v>78</v>
      </c>
      <c r="AF37" s="3" t="s">
        <v>329</v>
      </c>
      <c r="AJ37" s="3" t="s">
        <v>478</v>
      </c>
      <c r="AN37" s="3" t="s">
        <v>798</v>
      </c>
    </row>
    <row r="38">
      <c r="A38" s="3" t="s">
        <v>799</v>
      </c>
      <c r="B38" s="3" t="s">
        <v>423</v>
      </c>
      <c r="C38" s="3">
        <v>2023.0</v>
      </c>
      <c r="D38" s="3" t="s">
        <v>800</v>
      </c>
      <c r="E38" s="3" t="s">
        <v>801</v>
      </c>
      <c r="F38" s="3" t="s">
        <v>472</v>
      </c>
      <c r="H38" s="3" t="s">
        <v>473</v>
      </c>
      <c r="I38" s="3" t="s">
        <v>802</v>
      </c>
      <c r="J38" s="8" t="s">
        <v>803</v>
      </c>
      <c r="K38" s="3" t="s">
        <v>804</v>
      </c>
      <c r="L38" s="3">
        <v>2023.0</v>
      </c>
      <c r="M38" s="9">
        <v>45977.672418981485</v>
      </c>
      <c r="N38" s="9">
        <v>45980.85072916667</v>
      </c>
      <c r="R38" s="3">
        <v>4.0</v>
      </c>
      <c r="S38" s="3">
        <v>15.0</v>
      </c>
      <c r="U38" s="3" t="s">
        <v>477</v>
      </c>
      <c r="AC38" s="3" t="s">
        <v>78</v>
      </c>
      <c r="AF38" s="3" t="s">
        <v>329</v>
      </c>
      <c r="AJ38" s="3" t="s">
        <v>805</v>
      </c>
      <c r="AN38" s="3" t="s">
        <v>806</v>
      </c>
    </row>
    <row r="39">
      <c r="A39" s="3" t="s">
        <v>807</v>
      </c>
      <c r="B39" s="3" t="s">
        <v>423</v>
      </c>
      <c r="C39" s="3">
        <v>2021.0</v>
      </c>
      <c r="D39" s="3" t="s">
        <v>808</v>
      </c>
      <c r="E39" s="3" t="s">
        <v>113</v>
      </c>
      <c r="F39" s="3" t="s">
        <v>613</v>
      </c>
      <c r="H39" s="3" t="s">
        <v>614</v>
      </c>
      <c r="I39" s="3" t="s">
        <v>132</v>
      </c>
      <c r="J39" s="8" t="s">
        <v>809</v>
      </c>
      <c r="K39" s="3" t="s">
        <v>810</v>
      </c>
      <c r="L39" s="3">
        <v>2021.0</v>
      </c>
      <c r="M39" s="9">
        <v>45977.67254629629</v>
      </c>
      <c r="N39" s="9">
        <v>45977.92115740741</v>
      </c>
      <c r="S39" s="3">
        <v>130.0</v>
      </c>
      <c r="U39" s="3" t="s">
        <v>618</v>
      </c>
      <c r="AC39" s="3" t="s">
        <v>78</v>
      </c>
      <c r="AF39" s="3" t="s">
        <v>329</v>
      </c>
      <c r="AJ39" s="3" t="s">
        <v>549</v>
      </c>
      <c r="AN39" s="3" t="s">
        <v>811</v>
      </c>
    </row>
    <row r="40">
      <c r="A40" s="3" t="s">
        <v>812</v>
      </c>
      <c r="B40" s="3" t="s">
        <v>423</v>
      </c>
      <c r="C40" s="3">
        <v>2025.0</v>
      </c>
      <c r="D40" s="3" t="s">
        <v>813</v>
      </c>
      <c r="E40" s="3" t="s">
        <v>814</v>
      </c>
      <c r="F40" s="3" t="s">
        <v>792</v>
      </c>
      <c r="H40" s="3" t="s">
        <v>793</v>
      </c>
      <c r="I40" s="3" t="s">
        <v>815</v>
      </c>
      <c r="J40" s="8" t="s">
        <v>816</v>
      </c>
      <c r="K40" s="3" t="s">
        <v>817</v>
      </c>
      <c r="L40" s="3">
        <v>2025.0</v>
      </c>
      <c r="M40" s="9">
        <v>45977.67207175926</v>
      </c>
      <c r="N40" s="9">
        <v>45977.89015046296</v>
      </c>
      <c r="R40" s="3">
        <v>5.0</v>
      </c>
      <c r="S40" s="3">
        <v>8.0</v>
      </c>
      <c r="U40" s="3" t="s">
        <v>797</v>
      </c>
      <c r="AC40" s="3" t="s">
        <v>78</v>
      </c>
      <c r="AF40" s="3" t="s">
        <v>329</v>
      </c>
      <c r="AJ40" s="3" t="s">
        <v>478</v>
      </c>
      <c r="AN40" s="3" t="s">
        <v>818</v>
      </c>
    </row>
    <row r="41">
      <c r="A41" s="3" t="s">
        <v>819</v>
      </c>
      <c r="B41" s="3" t="s">
        <v>446</v>
      </c>
      <c r="C41" s="3">
        <v>2025.0</v>
      </c>
      <c r="D41" s="3" t="s">
        <v>820</v>
      </c>
      <c r="E41" s="3" t="s">
        <v>821</v>
      </c>
      <c r="F41" s="3" t="s">
        <v>822</v>
      </c>
      <c r="G41" s="3" t="s">
        <v>823</v>
      </c>
      <c r="I41" s="3" t="s">
        <v>824</v>
      </c>
      <c r="J41" s="8" t="s">
        <v>825</v>
      </c>
      <c r="K41" s="3" t="s">
        <v>826</v>
      </c>
      <c r="L41" s="3">
        <v>2025.0</v>
      </c>
      <c r="M41" s="9">
        <v>45977.67219907408</v>
      </c>
      <c r="N41" s="9">
        <v>45977.771875</v>
      </c>
      <c r="AA41" s="3" t="s">
        <v>827</v>
      </c>
      <c r="AC41" s="3" t="s">
        <v>78</v>
      </c>
      <c r="AF41" s="3" t="s">
        <v>329</v>
      </c>
      <c r="AJ41" s="3" t="s">
        <v>828</v>
      </c>
      <c r="AN41" s="3" t="s">
        <v>829</v>
      </c>
    </row>
    <row r="42">
      <c r="A42" s="3" t="s">
        <v>830</v>
      </c>
      <c r="B42" s="3" t="s">
        <v>423</v>
      </c>
      <c r="C42" s="3">
        <v>2023.0</v>
      </c>
      <c r="D42" s="3" t="s">
        <v>831</v>
      </c>
      <c r="E42" s="3" t="s">
        <v>832</v>
      </c>
      <c r="F42" s="3" t="s">
        <v>775</v>
      </c>
      <c r="H42" s="3" t="s">
        <v>776</v>
      </c>
      <c r="I42" s="3" t="s">
        <v>833</v>
      </c>
      <c r="J42" s="8" t="s">
        <v>834</v>
      </c>
      <c r="K42" s="3" t="s">
        <v>835</v>
      </c>
      <c r="L42" s="3">
        <v>2023.0</v>
      </c>
      <c r="M42" s="9">
        <v>45977.67240740741</v>
      </c>
      <c r="N42" s="9">
        <v>45977.770219907405</v>
      </c>
      <c r="S42" s="3">
        <v>156.0</v>
      </c>
      <c r="U42" s="3" t="s">
        <v>780</v>
      </c>
      <c r="AC42" s="3" t="s">
        <v>78</v>
      </c>
      <c r="AF42" s="3" t="s">
        <v>329</v>
      </c>
      <c r="AJ42" s="3" t="s">
        <v>549</v>
      </c>
      <c r="AN42" s="3" t="s">
        <v>836</v>
      </c>
    </row>
    <row r="43">
      <c r="A43" s="3" t="s">
        <v>837</v>
      </c>
      <c r="B43" s="3" t="s">
        <v>423</v>
      </c>
      <c r="C43" s="3">
        <v>2024.0</v>
      </c>
      <c r="D43" s="3" t="s">
        <v>838</v>
      </c>
      <c r="E43" s="3" t="s">
        <v>839</v>
      </c>
      <c r="F43" s="3" t="s">
        <v>840</v>
      </c>
      <c r="H43" s="3" t="s">
        <v>841</v>
      </c>
      <c r="I43" s="3" t="s">
        <v>842</v>
      </c>
      <c r="J43" s="8" t="s">
        <v>843</v>
      </c>
      <c r="K43" s="3" t="s">
        <v>844</v>
      </c>
      <c r="L43" s="3">
        <v>2024.0</v>
      </c>
      <c r="M43" s="9">
        <v>45977.67229166667</v>
      </c>
      <c r="N43" s="9">
        <v>45977.76987268519</v>
      </c>
      <c r="S43" s="3">
        <v>225.0</v>
      </c>
      <c r="U43" s="3" t="s">
        <v>845</v>
      </c>
      <c r="AC43" s="3" t="s">
        <v>78</v>
      </c>
      <c r="AF43" s="3" t="s">
        <v>329</v>
      </c>
      <c r="AJ43" s="3" t="s">
        <v>846</v>
      </c>
      <c r="AN43" s="3" t="s">
        <v>847</v>
      </c>
    </row>
    <row r="44">
      <c r="A44" s="3" t="s">
        <v>848</v>
      </c>
      <c r="B44" s="3" t="s">
        <v>423</v>
      </c>
      <c r="C44" s="3">
        <v>2024.0</v>
      </c>
      <c r="D44" s="3" t="s">
        <v>849</v>
      </c>
      <c r="E44" s="3" t="s">
        <v>850</v>
      </c>
      <c r="F44" s="3" t="s">
        <v>851</v>
      </c>
      <c r="H44" s="3" t="s">
        <v>852</v>
      </c>
      <c r="I44" s="3" t="s">
        <v>853</v>
      </c>
      <c r="J44" s="8" t="s">
        <v>854</v>
      </c>
      <c r="K44" s="3" t="s">
        <v>855</v>
      </c>
      <c r="L44" s="3">
        <v>2024.0</v>
      </c>
      <c r="M44" s="9">
        <v>45977.67236111111</v>
      </c>
      <c r="N44" s="9">
        <v>45977.768125</v>
      </c>
      <c r="R44" s="3">
        <v>1.0</v>
      </c>
      <c r="S44" s="3">
        <v>14.0</v>
      </c>
      <c r="U44" s="3" t="s">
        <v>851</v>
      </c>
      <c r="AC44" s="3" t="s">
        <v>78</v>
      </c>
      <c r="AF44" s="3" t="s">
        <v>329</v>
      </c>
      <c r="AJ44" s="3" t="s">
        <v>856</v>
      </c>
      <c r="AN44" s="3" t="s">
        <v>857</v>
      </c>
    </row>
    <row r="45">
      <c r="A45" s="3" t="s">
        <v>858</v>
      </c>
      <c r="B45" s="3" t="s">
        <v>423</v>
      </c>
      <c r="C45" s="3">
        <v>2022.0</v>
      </c>
      <c r="D45" s="3" t="s">
        <v>859</v>
      </c>
      <c r="E45" s="3" t="s">
        <v>166</v>
      </c>
      <c r="F45" s="3" t="s">
        <v>775</v>
      </c>
      <c r="H45" s="3" t="s">
        <v>776</v>
      </c>
      <c r="I45" s="3" t="s">
        <v>182</v>
      </c>
      <c r="J45" s="8" t="s">
        <v>860</v>
      </c>
      <c r="K45" s="3" t="s">
        <v>861</v>
      </c>
      <c r="L45" s="3">
        <v>2022.0</v>
      </c>
      <c r="M45" s="9">
        <v>45977.672476851854</v>
      </c>
      <c r="N45" s="9">
        <v>45977.71260416666</v>
      </c>
      <c r="S45" s="3">
        <v>151.0</v>
      </c>
      <c r="U45" s="3" t="s">
        <v>780</v>
      </c>
      <c r="AC45" s="3" t="s">
        <v>78</v>
      </c>
      <c r="AF45" s="3" t="s">
        <v>329</v>
      </c>
      <c r="AJ45" s="3" t="s">
        <v>549</v>
      </c>
      <c r="AN45" s="3" t="s">
        <v>862</v>
      </c>
    </row>
    <row r="46">
      <c r="A46" s="3" t="s">
        <v>863</v>
      </c>
      <c r="B46" s="3" t="s">
        <v>423</v>
      </c>
      <c r="C46" s="3">
        <v>2025.0</v>
      </c>
      <c r="D46" s="3" t="s">
        <v>864</v>
      </c>
      <c r="E46" s="3" t="s">
        <v>865</v>
      </c>
      <c r="F46" s="3" t="s">
        <v>866</v>
      </c>
      <c r="H46" s="3" t="s">
        <v>867</v>
      </c>
      <c r="I46" s="3" t="s">
        <v>868</v>
      </c>
      <c r="J46" s="8" t="s">
        <v>869</v>
      </c>
      <c r="K46" s="3" t="s">
        <v>870</v>
      </c>
      <c r="L46" s="3">
        <v>2025.0</v>
      </c>
      <c r="M46" s="9">
        <v>45977.67222222222</v>
      </c>
      <c r="N46" s="9">
        <v>45977.710439814815</v>
      </c>
      <c r="S46" s="3">
        <v>11.0</v>
      </c>
      <c r="U46" s="3" t="s">
        <v>871</v>
      </c>
      <c r="AC46" s="3" t="s">
        <v>78</v>
      </c>
      <c r="AF46" s="3" t="s">
        <v>329</v>
      </c>
      <c r="AJ46" s="3" t="s">
        <v>872</v>
      </c>
      <c r="AN46" s="3" t="s">
        <v>873</v>
      </c>
    </row>
    <row r="47">
      <c r="A47" s="3" t="s">
        <v>874</v>
      </c>
      <c r="B47" s="3" t="s">
        <v>423</v>
      </c>
      <c r="C47" s="3">
        <v>2024.0</v>
      </c>
      <c r="D47" s="3" t="s">
        <v>875</v>
      </c>
      <c r="E47" s="3" t="s">
        <v>876</v>
      </c>
      <c r="F47" s="3" t="s">
        <v>156</v>
      </c>
      <c r="H47" s="3" t="s">
        <v>483</v>
      </c>
      <c r="I47" s="3" t="s">
        <v>877</v>
      </c>
      <c r="J47" s="8" t="s">
        <v>878</v>
      </c>
      <c r="K47" s="3" t="s">
        <v>879</v>
      </c>
      <c r="L47" s="3">
        <v>2024.0</v>
      </c>
      <c r="M47" s="9">
        <v>45977.672326388885</v>
      </c>
      <c r="N47" s="9">
        <v>45977.70092592593</v>
      </c>
      <c r="P47" s="3" t="s">
        <v>880</v>
      </c>
      <c r="S47" s="3">
        <v>12.0</v>
      </c>
      <c r="U47" s="3" t="s">
        <v>156</v>
      </c>
      <c r="AC47" s="3" t="s">
        <v>78</v>
      </c>
      <c r="AF47" s="3" t="s">
        <v>329</v>
      </c>
      <c r="AJ47" s="3" t="s">
        <v>488</v>
      </c>
      <c r="AN47" s="3" t="s">
        <v>881</v>
      </c>
    </row>
    <row r="48">
      <c r="A48" s="3" t="s">
        <v>882</v>
      </c>
      <c r="B48" s="3" t="s">
        <v>423</v>
      </c>
      <c r="C48" s="3">
        <v>2024.0</v>
      </c>
      <c r="D48" s="3" t="s">
        <v>883</v>
      </c>
      <c r="E48" s="3" t="s">
        <v>884</v>
      </c>
      <c r="F48" s="3" t="s">
        <v>885</v>
      </c>
      <c r="H48" s="3" t="s">
        <v>886</v>
      </c>
      <c r="I48" s="3" t="s">
        <v>887</v>
      </c>
      <c r="J48" s="8" t="s">
        <v>888</v>
      </c>
      <c r="K48" s="3" t="s">
        <v>889</v>
      </c>
      <c r="L48" s="3">
        <v>2024.0</v>
      </c>
      <c r="M48" s="9">
        <v>45977.672372685185</v>
      </c>
      <c r="N48" s="9">
        <v>45977.69834490741</v>
      </c>
      <c r="P48" s="3" t="s">
        <v>890</v>
      </c>
      <c r="R48" s="3">
        <v>11.0</v>
      </c>
      <c r="S48" s="3">
        <v>18.0</v>
      </c>
      <c r="U48" s="3" t="s">
        <v>891</v>
      </c>
      <c r="AC48" s="3" t="s">
        <v>78</v>
      </c>
      <c r="AF48" s="3" t="s">
        <v>329</v>
      </c>
      <c r="AJ48" s="3" t="s">
        <v>500</v>
      </c>
      <c r="AN48" s="3" t="s">
        <v>892</v>
      </c>
    </row>
    <row r="49">
      <c r="A49" s="3" t="s">
        <v>893</v>
      </c>
      <c r="B49" s="3" t="s">
        <v>423</v>
      </c>
      <c r="C49" s="3">
        <v>2025.0</v>
      </c>
      <c r="D49" s="3" t="s">
        <v>894</v>
      </c>
      <c r="E49" s="3" t="s">
        <v>895</v>
      </c>
      <c r="F49" s="3" t="s">
        <v>896</v>
      </c>
      <c r="H49" s="3" t="s">
        <v>897</v>
      </c>
      <c r="I49" s="3" t="s">
        <v>898</v>
      </c>
      <c r="J49" s="8" t="s">
        <v>899</v>
      </c>
      <c r="K49" s="3" t="s">
        <v>900</v>
      </c>
      <c r="L49" s="3">
        <v>2025.0</v>
      </c>
      <c r="M49" s="9">
        <v>45977.67221064815</v>
      </c>
      <c r="N49" s="9">
        <v>45977.69534722222</v>
      </c>
      <c r="U49" s="3" t="s">
        <v>901</v>
      </c>
      <c r="AC49" s="3" t="s">
        <v>78</v>
      </c>
      <c r="AF49" s="3" t="s">
        <v>329</v>
      </c>
      <c r="AJ49" s="3" t="s">
        <v>902</v>
      </c>
      <c r="AN49" s="3" t="s">
        <v>903</v>
      </c>
    </row>
    <row r="50">
      <c r="A50" s="3" t="s">
        <v>904</v>
      </c>
      <c r="B50" s="3" t="s">
        <v>423</v>
      </c>
      <c r="C50" s="3">
        <v>2023.0</v>
      </c>
      <c r="D50" s="3" t="s">
        <v>905</v>
      </c>
      <c r="E50" s="3" t="s">
        <v>238</v>
      </c>
      <c r="F50" s="3" t="s">
        <v>906</v>
      </c>
      <c r="H50" s="3" t="s">
        <v>907</v>
      </c>
      <c r="I50" s="3" t="s">
        <v>257</v>
      </c>
      <c r="J50" s="8" t="s">
        <v>908</v>
      </c>
      <c r="K50" s="3" t="s">
        <v>909</v>
      </c>
      <c r="L50" s="3">
        <v>2023.0</v>
      </c>
      <c r="M50" s="9">
        <v>45977.67238425926</v>
      </c>
      <c r="N50" s="9">
        <v>45977.693761574075</v>
      </c>
      <c r="S50" s="3">
        <v>99.0</v>
      </c>
      <c r="U50" s="3" t="s">
        <v>910</v>
      </c>
      <c r="AC50" s="3" t="s">
        <v>78</v>
      </c>
      <c r="AF50" s="3" t="s">
        <v>329</v>
      </c>
      <c r="AJ50" s="3" t="s">
        <v>443</v>
      </c>
      <c r="AN50" s="3" t="s">
        <v>911</v>
      </c>
    </row>
    <row r="51">
      <c r="A51" s="3" t="s">
        <v>912</v>
      </c>
      <c r="B51" s="3" t="s">
        <v>423</v>
      </c>
      <c r="C51" s="3">
        <v>2023.0</v>
      </c>
      <c r="D51" s="3" t="s">
        <v>913</v>
      </c>
      <c r="E51" s="3" t="s">
        <v>914</v>
      </c>
      <c r="F51" s="3" t="s">
        <v>915</v>
      </c>
      <c r="H51" s="3" t="s">
        <v>916</v>
      </c>
      <c r="I51" s="3" t="s">
        <v>917</v>
      </c>
      <c r="J51" s="8" t="s">
        <v>918</v>
      </c>
      <c r="K51" s="3" t="s">
        <v>919</v>
      </c>
      <c r="L51" s="3">
        <v>2023.0</v>
      </c>
      <c r="M51" s="9">
        <v>45977.67239583333</v>
      </c>
      <c r="N51" s="9">
        <v>45977.68524305556</v>
      </c>
      <c r="P51" s="3" t="s">
        <v>920</v>
      </c>
      <c r="S51" s="3">
        <v>35.0</v>
      </c>
      <c r="U51" s="3" t="s">
        <v>921</v>
      </c>
      <c r="AC51" s="3" t="s">
        <v>78</v>
      </c>
      <c r="AF51" s="3" t="s">
        <v>329</v>
      </c>
      <c r="AJ51" s="3" t="s">
        <v>443</v>
      </c>
      <c r="AN51" s="3" t="s">
        <v>922</v>
      </c>
    </row>
    <row r="52">
      <c r="A52" s="3" t="s">
        <v>923</v>
      </c>
      <c r="B52" s="3" t="s">
        <v>423</v>
      </c>
      <c r="C52" s="3">
        <v>2023.0</v>
      </c>
      <c r="D52" s="3" t="s">
        <v>924</v>
      </c>
      <c r="E52" s="3" t="s">
        <v>925</v>
      </c>
      <c r="F52" s="3" t="s">
        <v>926</v>
      </c>
      <c r="H52" s="3" t="s">
        <v>927</v>
      </c>
      <c r="I52" s="3" t="s">
        <v>928</v>
      </c>
      <c r="J52" s="8" t="s">
        <v>929</v>
      </c>
      <c r="K52" s="3" t="s">
        <v>930</v>
      </c>
      <c r="L52" s="3">
        <v>2023.0</v>
      </c>
      <c r="M52" s="9">
        <v>45977.672430555554</v>
      </c>
      <c r="N52" s="9">
        <v>45977.68357638889</v>
      </c>
      <c r="S52" s="3">
        <v>2.0</v>
      </c>
      <c r="U52" s="3" t="s">
        <v>931</v>
      </c>
      <c r="AC52" s="3" t="s">
        <v>78</v>
      </c>
      <c r="AF52" s="3" t="s">
        <v>329</v>
      </c>
      <c r="AJ52" s="3" t="s">
        <v>932</v>
      </c>
      <c r="AN52" s="3" t="s">
        <v>933</v>
      </c>
    </row>
    <row r="53">
      <c r="A53" s="3" t="s">
        <v>934</v>
      </c>
      <c r="B53" s="3" t="s">
        <v>446</v>
      </c>
      <c r="C53" s="3">
        <v>2024.0</v>
      </c>
      <c r="D53" s="3" t="s">
        <v>935</v>
      </c>
      <c r="E53" s="3" t="s">
        <v>936</v>
      </c>
      <c r="F53" s="3" t="s">
        <v>937</v>
      </c>
      <c r="J53" s="8" t="s">
        <v>938</v>
      </c>
      <c r="K53" s="3" t="s">
        <v>939</v>
      </c>
      <c r="L53" s="3">
        <v>2024.0</v>
      </c>
      <c r="M53" s="9">
        <v>45977.672326388885</v>
      </c>
      <c r="N53" s="9">
        <v>45977.682291666664</v>
      </c>
      <c r="P53" s="3" t="s">
        <v>940</v>
      </c>
      <c r="AA53" s="3" t="s">
        <v>941</v>
      </c>
      <c r="AC53" s="3" t="s">
        <v>78</v>
      </c>
      <c r="AF53" s="3" t="s">
        <v>329</v>
      </c>
      <c r="AJ53" s="3" t="s">
        <v>942</v>
      </c>
      <c r="AN53" s="3" t="s">
        <v>943</v>
      </c>
    </row>
    <row r="54">
      <c r="A54" s="3" t="s">
        <v>944</v>
      </c>
      <c r="B54" s="3" t="s">
        <v>423</v>
      </c>
      <c r="C54" s="3">
        <v>2023.0</v>
      </c>
      <c r="D54" s="3" t="s">
        <v>945</v>
      </c>
      <c r="E54" s="3" t="s">
        <v>946</v>
      </c>
      <c r="F54" s="3" t="s">
        <v>947</v>
      </c>
      <c r="H54" s="3" t="s">
        <v>948</v>
      </c>
      <c r="I54" s="3" t="s">
        <v>949</v>
      </c>
      <c r="J54" s="8" t="s">
        <v>950</v>
      </c>
      <c r="K54" s="3" t="s">
        <v>951</v>
      </c>
      <c r="L54" s="3">
        <v>2023.0</v>
      </c>
      <c r="M54" s="9">
        <v>45977.67238425926</v>
      </c>
      <c r="N54" s="9">
        <v>45977.681909722225</v>
      </c>
      <c r="R54" s="3">
        <v>1.0</v>
      </c>
      <c r="S54" s="3">
        <v>6.0</v>
      </c>
      <c r="U54" s="3" t="s">
        <v>952</v>
      </c>
      <c r="AC54" s="3" t="s">
        <v>78</v>
      </c>
      <c r="AF54" s="3" t="s">
        <v>329</v>
      </c>
      <c r="AJ54" s="3" t="s">
        <v>953</v>
      </c>
      <c r="AN54" s="3" t="s">
        <v>954</v>
      </c>
    </row>
    <row r="55">
      <c r="A55" s="3" t="s">
        <v>955</v>
      </c>
      <c r="B55" s="3" t="s">
        <v>423</v>
      </c>
      <c r="C55" s="3">
        <v>2024.0</v>
      </c>
      <c r="D55" s="3" t="s">
        <v>956</v>
      </c>
      <c r="E55" s="3" t="s">
        <v>957</v>
      </c>
      <c r="F55" s="3" t="s">
        <v>958</v>
      </c>
      <c r="H55" s="3" t="s">
        <v>959</v>
      </c>
      <c r="I55" s="3" t="s">
        <v>960</v>
      </c>
      <c r="J55" s="8" t="s">
        <v>961</v>
      </c>
      <c r="K55" s="3" t="s">
        <v>962</v>
      </c>
      <c r="L55" s="3">
        <v>2024.0</v>
      </c>
      <c r="M55" s="9">
        <v>45977.67233796296</v>
      </c>
      <c r="N55" s="9">
        <v>45977.680300925924</v>
      </c>
      <c r="P55" s="3" t="s">
        <v>963</v>
      </c>
      <c r="S55" s="3">
        <v>5.0</v>
      </c>
      <c r="U55" s="3" t="s">
        <v>964</v>
      </c>
      <c r="AC55" s="3" t="s">
        <v>78</v>
      </c>
      <c r="AF55" s="3" t="s">
        <v>329</v>
      </c>
      <c r="AJ55" s="3" t="s">
        <v>488</v>
      </c>
      <c r="AN55" s="3" t="s">
        <v>965</v>
      </c>
    </row>
    <row r="56">
      <c r="A56" s="3" t="s">
        <v>966</v>
      </c>
      <c r="B56" s="3" t="s">
        <v>423</v>
      </c>
      <c r="C56" s="3">
        <v>2025.0</v>
      </c>
      <c r="E56" s="3" t="s">
        <v>967</v>
      </c>
      <c r="F56" s="3" t="s">
        <v>968</v>
      </c>
      <c r="H56" s="3" t="s">
        <v>969</v>
      </c>
      <c r="I56" s="3" t="s">
        <v>970</v>
      </c>
      <c r="J56" s="8" t="s">
        <v>971</v>
      </c>
      <c r="K56" s="3" t="s">
        <v>972</v>
      </c>
      <c r="L56" s="3">
        <v>2025.0</v>
      </c>
      <c r="M56" s="9">
        <v>45977.6721875</v>
      </c>
      <c r="N56" s="9">
        <v>45977.678761574076</v>
      </c>
      <c r="P56" s="3" t="s">
        <v>973</v>
      </c>
      <c r="R56" s="3">
        <v>6.0</v>
      </c>
      <c r="S56" s="3">
        <v>38.0</v>
      </c>
      <c r="U56" s="3" t="s">
        <v>974</v>
      </c>
      <c r="V56" s="3" t="s">
        <v>975</v>
      </c>
      <c r="AC56" s="3" t="s">
        <v>78</v>
      </c>
      <c r="AF56" s="3" t="s">
        <v>329</v>
      </c>
      <c r="AJ56" s="3" t="s">
        <v>500</v>
      </c>
      <c r="AN56" s="3" t="s">
        <v>976</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s>
  <drawing r:id="rId5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4.38"/>
  </cols>
  <sheetData>
    <row r="1">
      <c r="A1" s="3" t="s">
        <v>312</v>
      </c>
      <c r="B1" s="3" t="s">
        <v>56</v>
      </c>
      <c r="C1" s="3" t="s">
        <v>313</v>
      </c>
      <c r="D1" s="3" t="s">
        <v>977</v>
      </c>
      <c r="E1" s="3" t="s">
        <v>978</v>
      </c>
    </row>
    <row r="2">
      <c r="A2" s="10" t="s">
        <v>979</v>
      </c>
      <c r="B2" s="11" t="str">
        <f>'scopus_export_Nov 16-2025_filte'!I2</f>
        <v>10.1186/s42162-024-00385-5</v>
      </c>
      <c r="C2" s="11" t="str">
        <f>'scopus_export_Nov 16-2025_filte'!E2</f>
        <v>Digital Twins of smart energy systems: a systematic literature review on enablers, design, management and computational challenges</v>
      </c>
      <c r="D2" s="12" t="str">
        <f>'scopus_export_Nov 16-2025_filte'!J2</f>
        <v>https://www.scopus.com/inward/record.uri?eid=2-s2.0-85205923870&amp;doi=10.1186%2Fs42162-024-00385-5&amp;partnerID=40&amp;md5=806c3f02ba8c9f382702f93b30376aed</v>
      </c>
      <c r="E2" s="10"/>
      <c r="F2" s="11"/>
      <c r="G2" s="11"/>
      <c r="H2" s="11"/>
      <c r="I2" s="11"/>
      <c r="J2" s="11"/>
      <c r="K2" s="11"/>
      <c r="L2" s="11"/>
      <c r="M2" s="11"/>
      <c r="N2" s="11"/>
      <c r="O2" s="11"/>
      <c r="P2" s="11"/>
      <c r="Q2" s="11"/>
      <c r="R2" s="11"/>
      <c r="S2" s="11"/>
      <c r="T2" s="11"/>
      <c r="U2" s="11"/>
      <c r="V2" s="11"/>
      <c r="W2" s="11"/>
      <c r="X2" s="11"/>
      <c r="Y2" s="11"/>
      <c r="Z2" s="11"/>
    </row>
    <row r="3">
      <c r="A3" s="10" t="s">
        <v>980</v>
      </c>
      <c r="B3" s="11" t="str">
        <f>'scopus_export_Nov 16-2025_filte'!I3</f>
        <v>10.1016/j.apenergy.2025.126670</v>
      </c>
      <c r="C3" s="11" t="str">
        <f>'scopus_export_Nov 16-2025_filte'!E3</f>
        <v>A systematic review of transformers and large language models in the energy sector: towards agentic digital twins</v>
      </c>
      <c r="D3" s="12" t="str">
        <f>'scopus_export_Nov 16-2025_filte'!J3</f>
        <v>https://www.scopus.com/inward/record.uri?eid=2-s2.0-105013772709&amp;doi=10.1016%2Fj.apenergy.2025.126670&amp;partnerID=40&amp;md5=c1cad25a7dc752b2dbd6cb8ee9706b33</v>
      </c>
      <c r="E3" s="11"/>
      <c r="F3" s="11"/>
      <c r="G3" s="11"/>
      <c r="H3" s="11"/>
      <c r="I3" s="11"/>
      <c r="J3" s="11"/>
      <c r="K3" s="11"/>
      <c r="L3" s="11"/>
      <c r="M3" s="11"/>
      <c r="N3" s="11"/>
      <c r="O3" s="11"/>
      <c r="P3" s="11"/>
      <c r="Q3" s="11"/>
      <c r="R3" s="11"/>
      <c r="S3" s="11"/>
      <c r="T3" s="11"/>
      <c r="U3" s="11"/>
      <c r="V3" s="11"/>
      <c r="W3" s="11"/>
      <c r="X3" s="11"/>
      <c r="Y3" s="11"/>
      <c r="Z3" s="11"/>
    </row>
    <row r="4">
      <c r="A4" s="10" t="s">
        <v>981</v>
      </c>
      <c r="B4" s="11" t="str">
        <f>'scopus_export_Nov 16-2025_filte'!I4</f>
        <v>10.1109/ICISS59129.2023.10291219</v>
      </c>
      <c r="C4" s="11" t="str">
        <f>'scopus_export_Nov 16-2025_filte'!E4</f>
        <v>A Systematic Literature Review of Recent Trends and Challenges in Digital Twin Implementation</v>
      </c>
      <c r="D4" s="12" t="str">
        <f>'scopus_export_Nov 16-2025_filte'!J4</f>
        <v>https://www.scopus.com/inward/record.uri?eid=2-s2.0-85177460118&amp;doi=10.1109%2FICISS59129.2023.10291219&amp;partnerID=40&amp;md5=a6bc6d3e07f2b2bddf90df9ceb1c59fd</v>
      </c>
      <c r="E4" s="11"/>
      <c r="F4" s="11"/>
      <c r="G4" s="11"/>
      <c r="H4" s="11"/>
      <c r="I4" s="11"/>
      <c r="J4" s="11"/>
      <c r="K4" s="11"/>
      <c r="L4" s="11"/>
      <c r="M4" s="11"/>
      <c r="N4" s="11"/>
      <c r="O4" s="11"/>
      <c r="P4" s="11"/>
      <c r="Q4" s="11"/>
      <c r="R4" s="11"/>
      <c r="S4" s="11"/>
      <c r="T4" s="11"/>
      <c r="U4" s="11"/>
      <c r="V4" s="11"/>
      <c r="W4" s="11"/>
      <c r="X4" s="11"/>
      <c r="Y4" s="11"/>
      <c r="Z4" s="11"/>
    </row>
    <row r="5">
      <c r="A5" s="10" t="s">
        <v>982</v>
      </c>
      <c r="B5" s="11" t="str">
        <f>'scopus_export_Nov 16-2025_filte'!I5</f>
        <v>10.18280/ijsdp.200801</v>
      </c>
      <c r="C5" s="11" t="str">
        <f>'scopus_export_Nov 16-2025_filte'!E5</f>
        <v>Digital Twin Integration in Field Service Management: A Hybrid Systematic Literature Review and Bibliometric Analysis (2017-2024)</v>
      </c>
      <c r="D5" s="12" t="str">
        <f>'scopus_export_Nov 16-2025_filte'!J5</f>
        <v>https://www.scopus.com/inward/record.uri?eid=2-s2.0-105018889828&amp;doi=10.18280%2Fijsdp.200801&amp;partnerID=40&amp;md5=a6858ecf572b9ea40e2bd53c60298ce0</v>
      </c>
      <c r="E5" s="11"/>
      <c r="F5" s="11"/>
      <c r="G5" s="11"/>
      <c r="H5" s="11"/>
      <c r="I5" s="11"/>
      <c r="J5" s="11"/>
      <c r="K5" s="11"/>
      <c r="L5" s="11"/>
      <c r="M5" s="11"/>
      <c r="N5" s="11"/>
      <c r="O5" s="11"/>
      <c r="P5" s="11"/>
      <c r="Q5" s="11"/>
      <c r="R5" s="11"/>
      <c r="S5" s="11"/>
      <c r="T5" s="11"/>
      <c r="U5" s="11"/>
      <c r="V5" s="11"/>
      <c r="W5" s="11"/>
      <c r="X5" s="11"/>
      <c r="Y5" s="11"/>
      <c r="Z5" s="11"/>
    </row>
    <row r="6">
      <c r="A6" s="10" t="s">
        <v>983</v>
      </c>
      <c r="B6" s="11" t="str">
        <f>'scopus_export_Nov 16-2025_filte'!I6</f>
        <v>10.3390/su17083560</v>
      </c>
      <c r="C6" s="11" t="str">
        <f>'scopus_export_Nov 16-2025_filte'!E6</f>
        <v>Analysis of Digital Twin Applications in Energy Efficiency: A Systematic Review</v>
      </c>
      <c r="D6" s="12" t="str">
        <f>'scopus_export_Nov 16-2025_filte'!J6</f>
        <v>https://www.scopus.com/inward/record.uri?eid=2-s2.0-105003656265&amp;doi=10.3390%2Fsu17083560&amp;partnerID=40&amp;md5=15880fe7a56c0315846422e00798a2f4</v>
      </c>
      <c r="E6" s="11"/>
      <c r="F6" s="11"/>
      <c r="G6" s="11"/>
      <c r="H6" s="11"/>
      <c r="I6" s="11"/>
      <c r="J6" s="11"/>
      <c r="K6" s="11"/>
      <c r="L6" s="11"/>
      <c r="M6" s="11"/>
      <c r="N6" s="11"/>
      <c r="O6" s="11"/>
      <c r="P6" s="11"/>
      <c r="Q6" s="11"/>
      <c r="R6" s="11"/>
      <c r="S6" s="11"/>
      <c r="T6" s="11"/>
      <c r="U6" s="11"/>
      <c r="V6" s="11"/>
      <c r="W6" s="11"/>
      <c r="X6" s="11"/>
      <c r="Y6" s="11"/>
      <c r="Z6" s="11"/>
    </row>
    <row r="7">
      <c r="A7" s="10" t="s">
        <v>984</v>
      </c>
      <c r="B7" s="11" t="str">
        <f>'scopus_export_Nov 16-2025_filte'!I7</f>
        <v>10.1109/ACCESS.2025.3601615</v>
      </c>
      <c r="C7" s="11" t="str">
        <f>'scopus_export_Nov 16-2025_filte'!E7</f>
        <v>Technologies, Applications, and Challenges of Digital Twin Across Industries: A Systematic Review of the State-of-the-Art Literature</v>
      </c>
      <c r="D7" s="12" t="str">
        <f>'scopus_export_Nov 16-2025_filte'!J7</f>
        <v>https://www.scopus.com/inward/record.uri?eid=2-s2.0-105013996327&amp;doi=10.1109%2FACCESS.2025.3601615&amp;partnerID=40&amp;md5=77d1ad982062f63bd474c7c3f19c5387</v>
      </c>
      <c r="E7" s="11"/>
      <c r="F7" s="11"/>
      <c r="G7" s="11"/>
      <c r="H7" s="11"/>
      <c r="I7" s="11"/>
      <c r="J7" s="11"/>
      <c r="K7" s="11"/>
      <c r="L7" s="11"/>
      <c r="M7" s="11"/>
      <c r="N7" s="11"/>
      <c r="O7" s="11"/>
      <c r="P7" s="11"/>
      <c r="Q7" s="11"/>
      <c r="R7" s="11"/>
      <c r="S7" s="11"/>
      <c r="T7" s="11"/>
      <c r="U7" s="11"/>
      <c r="V7" s="11"/>
      <c r="W7" s="11"/>
      <c r="X7" s="11"/>
      <c r="Y7" s="11"/>
      <c r="Z7" s="11"/>
    </row>
    <row r="8">
      <c r="A8" s="10" t="s">
        <v>985</v>
      </c>
      <c r="B8" s="11" t="str">
        <f>'scopus_export_Nov 16-2025_filte'!I8</f>
        <v>10.1080/10447318.2022.2118189</v>
      </c>
      <c r="C8" s="11" t="str">
        <f>'scopus_export_Nov 16-2025_filte'!E8</f>
        <v>Digital Twins in Human-Computer Interaction: A Systematic Review</v>
      </c>
      <c r="D8" s="12" t="str">
        <f>'scopus_export_Nov 16-2025_filte'!J8</f>
        <v>https://www.scopus.com/inward/record.uri?eid=2-s2.0-85138270893&amp;doi=10.1080%2F10447318.2022.2118189&amp;partnerID=40&amp;md5=f201ed7ffac05dac9bd2c18e89be14e9</v>
      </c>
      <c r="E8" s="11"/>
      <c r="F8" s="11"/>
      <c r="G8" s="11"/>
      <c r="H8" s="11"/>
      <c r="I8" s="11"/>
      <c r="J8" s="11"/>
      <c r="K8" s="11"/>
      <c r="L8" s="11"/>
      <c r="M8" s="11"/>
      <c r="N8" s="11"/>
      <c r="O8" s="11"/>
      <c r="P8" s="11"/>
      <c r="Q8" s="11"/>
      <c r="R8" s="11"/>
      <c r="S8" s="11"/>
      <c r="T8" s="11"/>
      <c r="U8" s="11"/>
      <c r="V8" s="11"/>
      <c r="W8" s="11"/>
      <c r="X8" s="11"/>
      <c r="Y8" s="11"/>
      <c r="Z8" s="11"/>
    </row>
    <row r="9">
      <c r="A9" s="10" t="s">
        <v>986</v>
      </c>
      <c r="B9" s="11" t="str">
        <f>'scopus_export_Nov 16-2025_filte'!I9</f>
        <v>10.1007/978-3-032-03538-7_22</v>
      </c>
      <c r="C9" s="11" t="str">
        <f>'scopus_export_Nov 16-2025_filte'!E9</f>
        <v>Digital Twin, Digital Shadow or Digital Model? A Systematic Literature Review</v>
      </c>
      <c r="D9" s="12" t="str">
        <f>'scopus_export_Nov 16-2025_filte'!J9</f>
        <v>https://www.scopus.com/inward/record.uri?eid=2-s2.0-105015479266&amp;doi=10.1007%2F978-3-032-03538-7_22&amp;partnerID=40&amp;md5=f4812bfa7bde5366bad1c4f8aa0ac42b</v>
      </c>
      <c r="E9" s="11"/>
      <c r="F9" s="11"/>
      <c r="G9" s="11"/>
      <c r="H9" s="11"/>
      <c r="I9" s="11"/>
      <c r="J9" s="11"/>
      <c r="K9" s="11"/>
      <c r="L9" s="11"/>
      <c r="M9" s="11"/>
      <c r="N9" s="11"/>
      <c r="O9" s="11"/>
      <c r="P9" s="11"/>
      <c r="Q9" s="11"/>
      <c r="R9" s="11"/>
      <c r="S9" s="11"/>
      <c r="T9" s="11"/>
      <c r="U9" s="11"/>
      <c r="V9" s="11"/>
      <c r="W9" s="11"/>
      <c r="X9" s="11"/>
      <c r="Y9" s="11"/>
      <c r="Z9" s="11"/>
    </row>
    <row r="10">
      <c r="A10" s="10" t="s">
        <v>987</v>
      </c>
      <c r="B10" s="11" t="str">
        <f>'scopus_export_Nov 16-2025_filte'!I10</f>
        <v/>
      </c>
      <c r="C10" s="11" t="str">
        <f>'scopus_export_Nov 16-2025_filte'!E10</f>
        <v>A systematic review of methodologies for developing Digital Twins: Insights and recommendations for effective implementation</v>
      </c>
      <c r="D10" s="12" t="str">
        <f>'scopus_export_Nov 16-2025_filte'!J10</f>
        <v>https://www.scopus.com/inward/record.uri?eid=2-s2.0-85186955788&amp;partnerID=40&amp;md5=69a0173d87c1a6defc9d849b238e4cad</v>
      </c>
      <c r="E10" s="11"/>
      <c r="F10" s="11"/>
      <c r="G10" s="11"/>
      <c r="H10" s="11"/>
      <c r="I10" s="11"/>
      <c r="J10" s="11"/>
      <c r="K10" s="11"/>
      <c r="L10" s="11"/>
      <c r="M10" s="11"/>
      <c r="N10" s="11"/>
      <c r="O10" s="11"/>
      <c r="P10" s="11"/>
      <c r="Q10" s="11"/>
      <c r="R10" s="11"/>
      <c r="S10" s="11"/>
      <c r="T10" s="11"/>
      <c r="U10" s="11"/>
      <c r="V10" s="11"/>
      <c r="W10" s="11"/>
      <c r="X10" s="11"/>
      <c r="Y10" s="11"/>
      <c r="Z10" s="11"/>
    </row>
    <row r="11">
      <c r="A11" s="10" t="s">
        <v>988</v>
      </c>
      <c r="B11" s="11" t="str">
        <f>'scopus_export_Nov 16-2025_filte'!I11</f>
        <v>10.3390/app11125519</v>
      </c>
      <c r="C11" s="11" t="str">
        <f>'scopus_export_Nov 16-2025_filte'!E11</f>
        <v>Sustainability requirements of digital twin-based systems: A meta systematic literature review</v>
      </c>
      <c r="D11" s="12" t="str">
        <f>'scopus_export_Nov 16-2025_filte'!J11</f>
        <v>https://www.scopus.com/inward/record.uri?eid=2-s2.0-85108827458&amp;doi=10.3390%2Fapp11125519&amp;partnerID=40&amp;md5=63dfdb02313f91047730df956c13b858</v>
      </c>
      <c r="E11" s="11"/>
      <c r="F11" s="11"/>
      <c r="G11" s="11"/>
      <c r="H11" s="11"/>
      <c r="I11" s="11"/>
      <c r="J11" s="11"/>
      <c r="K11" s="11"/>
      <c r="L11" s="11"/>
      <c r="M11" s="11"/>
      <c r="N11" s="11"/>
      <c r="O11" s="11"/>
      <c r="P11" s="11"/>
      <c r="Q11" s="11"/>
      <c r="R11" s="11"/>
      <c r="S11" s="11"/>
      <c r="T11" s="11"/>
      <c r="U11" s="11"/>
      <c r="V11" s="11"/>
      <c r="W11" s="11"/>
      <c r="X11" s="11"/>
      <c r="Y11" s="11"/>
      <c r="Z11" s="11"/>
    </row>
    <row r="12">
      <c r="A12" s="10" t="s">
        <v>989</v>
      </c>
      <c r="B12" s="11" t="str">
        <f>'scopus_export_Nov 16-2025_filte'!I12</f>
        <v>10.1016/j.jmsy.2025.07.006</v>
      </c>
      <c r="C12" s="11" t="str">
        <f>'scopus_export_Nov 16-2025_filte'!E12</f>
        <v>AI-enhanced digital twins in maintenance: Systematic review, industrial challenges, and bridging research–practice gaps</v>
      </c>
      <c r="D12" s="12" t="str">
        <f>'scopus_export_Nov 16-2025_filte'!J12</f>
        <v>https://www.scopus.com/inward/record.uri?eid=2-s2.0-105011843823&amp;doi=10.1016%2Fj.jmsy.2025.07.006&amp;partnerID=40&amp;md5=59e79e71eab83ffa0cf8fec10c766bc6</v>
      </c>
      <c r="E12" s="11"/>
      <c r="F12" s="11"/>
      <c r="G12" s="11"/>
      <c r="H12" s="11"/>
      <c r="I12" s="11"/>
      <c r="J12" s="11"/>
      <c r="K12" s="11"/>
      <c r="L12" s="11"/>
      <c r="M12" s="11"/>
      <c r="N12" s="11"/>
      <c r="O12" s="11"/>
      <c r="P12" s="11"/>
      <c r="Q12" s="11"/>
      <c r="R12" s="11"/>
      <c r="S12" s="11"/>
      <c r="T12" s="11"/>
      <c r="U12" s="11"/>
      <c r="V12" s="11"/>
      <c r="W12" s="11"/>
      <c r="X12" s="11"/>
      <c r="Y12" s="11"/>
      <c r="Z12" s="11"/>
    </row>
    <row r="13">
      <c r="A13" s="10" t="s">
        <v>990</v>
      </c>
      <c r="B13" s="11" t="str">
        <f>'scopus_export_Nov 16-2025_filte'!I13</f>
        <v>10.1007/s10115-023-01870-1</v>
      </c>
      <c r="C13" s="11" t="str">
        <f>'scopus_export_Nov 16-2025_filte'!E13</f>
        <v>Data management in digital twins: a systematic literature review</v>
      </c>
      <c r="D13" s="12" t="str">
        <f>'scopus_export_Nov 16-2025_filte'!J13</f>
        <v>https://www.scopus.com/inward/record.uri?eid=2-s2.0-85153108953&amp;doi=10.1007%2Fs10115-023-01870-1&amp;partnerID=40&amp;md5=33e53121b1ddf8796cf152499abf999c</v>
      </c>
      <c r="E13" s="11"/>
      <c r="F13" s="11"/>
      <c r="G13" s="11"/>
      <c r="H13" s="11"/>
      <c r="I13" s="11"/>
      <c r="J13" s="11"/>
      <c r="K13" s="11"/>
      <c r="L13" s="11"/>
      <c r="M13" s="11"/>
      <c r="N13" s="11"/>
      <c r="O13" s="11"/>
      <c r="P13" s="11"/>
      <c r="Q13" s="11"/>
      <c r="R13" s="11"/>
      <c r="S13" s="11"/>
      <c r="T13" s="11"/>
      <c r="U13" s="11"/>
      <c r="V13" s="11"/>
      <c r="W13" s="11"/>
      <c r="X13" s="11"/>
      <c r="Y13" s="11"/>
      <c r="Z13" s="11"/>
    </row>
    <row r="14">
      <c r="A14" s="10" t="s">
        <v>991</v>
      </c>
      <c r="B14" s="11" t="str">
        <f>'scopus_export_Nov 16-2025_filte'!I14</f>
        <v>10.1590/1806-9649-2022V29E9621</v>
      </c>
      <c r="C14" s="11" t="str">
        <f>'scopus_export_Nov 16-2025_filte'!E14</f>
        <v>Systematic review of the literature on Digital Twin: a discussion of contributions and a framework proposal</v>
      </c>
      <c r="D14" s="12" t="str">
        <f>'scopus_export_Nov 16-2025_filte'!J14</f>
        <v>https://www.scopus.com/inward/record.uri?eid=2-s2.0-85135149735&amp;doi=10.1590%2F1806-9649-2022V29E9621&amp;partnerID=40&amp;md5=6e38367059feb9e75f249d57b6be36e4</v>
      </c>
      <c r="E14" s="11"/>
      <c r="F14" s="11"/>
      <c r="G14" s="11"/>
      <c r="H14" s="11"/>
      <c r="I14" s="11"/>
      <c r="J14" s="11"/>
      <c r="K14" s="11"/>
      <c r="L14" s="11"/>
      <c r="M14" s="11"/>
      <c r="N14" s="11"/>
      <c r="O14" s="11"/>
      <c r="P14" s="11"/>
      <c r="Q14" s="11"/>
      <c r="R14" s="11"/>
      <c r="S14" s="11"/>
      <c r="T14" s="11"/>
      <c r="U14" s="11"/>
      <c r="V14" s="11"/>
      <c r="W14" s="11"/>
      <c r="X14" s="11"/>
      <c r="Y14" s="11"/>
      <c r="Z14" s="11"/>
    </row>
    <row r="15">
      <c r="A15" s="10" t="s">
        <v>992</v>
      </c>
      <c r="B15" s="11" t="str">
        <f>'scopus_export_Nov 16-2025_filte'!I15</f>
        <v>10.1080/00207543.2021.1898691</v>
      </c>
      <c r="C15" s="11" t="str">
        <f>'scopus_export_Nov 16-2025_filte'!E15</f>
        <v>Decision support in productive processes through DES and ABS in the Digital Twin era: a systematic literature review</v>
      </c>
      <c r="D15" s="12" t="str">
        <f>'scopus_export_Nov 16-2025_filte'!J15</f>
        <v>https://www.scopus.com/inward/record.uri?eid=2-s2.0-85102693068&amp;doi=10.1080%2F00207543.2021.1898691&amp;partnerID=40&amp;md5=a4c004c82536f6bb4277f27b7db2576b</v>
      </c>
      <c r="E15" s="11"/>
      <c r="F15" s="11"/>
      <c r="G15" s="11"/>
      <c r="H15" s="11"/>
      <c r="I15" s="11"/>
      <c r="J15" s="11"/>
      <c r="K15" s="11"/>
      <c r="L15" s="11"/>
      <c r="M15" s="11"/>
      <c r="N15" s="11"/>
      <c r="O15" s="11"/>
      <c r="P15" s="11"/>
      <c r="Q15" s="11"/>
      <c r="R15" s="11"/>
      <c r="S15" s="11"/>
      <c r="T15" s="11"/>
      <c r="U15" s="11"/>
      <c r="V15" s="11"/>
      <c r="W15" s="11"/>
      <c r="X15" s="11"/>
      <c r="Y15" s="11"/>
      <c r="Z15" s="11"/>
    </row>
    <row r="16">
      <c r="A16" s="10" t="s">
        <v>993</v>
      </c>
      <c r="B16" s="11" t="str">
        <f>'scopus_export_Nov 16-2025_filte'!I16</f>
        <v>10.1109/SoSE59841.2023.10178669</v>
      </c>
      <c r="C16" s="11" t="str">
        <f>'scopus_export_Nov 16-2025_filte'!E16</f>
        <v>Sensor selection and integration for Cyber-Physical Systems in context of Digital Twins - A systematic review of requirements</v>
      </c>
      <c r="D16" s="12" t="str">
        <f>'scopus_export_Nov 16-2025_filte'!J16</f>
        <v>https://www.scopus.com/inward/record.uri?eid=2-s2.0-85166732531&amp;doi=10.1109%2FSoSE59841.2023.10178669&amp;partnerID=40&amp;md5=3c1fa869111fb74c669f44a07a57df6a</v>
      </c>
      <c r="E16" s="11"/>
      <c r="F16" s="11"/>
      <c r="G16" s="11"/>
      <c r="H16" s="11"/>
      <c r="I16" s="11"/>
      <c r="J16" s="11"/>
      <c r="K16" s="11"/>
      <c r="L16" s="11"/>
      <c r="M16" s="11"/>
      <c r="N16" s="11"/>
      <c r="O16" s="11"/>
      <c r="P16" s="11"/>
      <c r="Q16" s="11"/>
      <c r="R16" s="11"/>
      <c r="S16" s="11"/>
      <c r="T16" s="11"/>
      <c r="U16" s="11"/>
      <c r="V16" s="11"/>
      <c r="W16" s="11"/>
      <c r="X16" s="11"/>
      <c r="Y16" s="11"/>
      <c r="Z16" s="11"/>
    </row>
    <row r="17">
      <c r="A17" s="10" t="s">
        <v>994</v>
      </c>
      <c r="B17" s="11" t="str">
        <f>'scopus_export_Nov 16-2025_filte'!I17</f>
        <v>10.1016/j.procs.2025.02.016</v>
      </c>
      <c r="C17" s="11" t="str">
        <f>'scopus_export_Nov 16-2025_filte'!E17</f>
        <v>Digital Twin in Industry 4.0: Systematic review and content analysis and an architectural reference model</v>
      </c>
      <c r="D17" s="12" t="str">
        <f>'scopus_export_Nov 16-2025_filte'!J17</f>
        <v>https://www.scopus.com/inward/record.uri?eid=2-s2.0-105000464865&amp;doi=10.1016%2Fj.procs.2025.02.016&amp;partnerID=40&amp;md5=8443907cbbc36afa07529bf89cc4771a</v>
      </c>
      <c r="E17" s="11"/>
      <c r="F17" s="11"/>
      <c r="G17" s="11"/>
      <c r="H17" s="11"/>
      <c r="I17" s="11"/>
      <c r="J17" s="11"/>
      <c r="K17" s="11"/>
      <c r="L17" s="11"/>
      <c r="M17" s="11"/>
      <c r="N17" s="11"/>
      <c r="O17" s="11"/>
      <c r="P17" s="11"/>
      <c r="Q17" s="11"/>
      <c r="R17" s="11"/>
      <c r="S17" s="11"/>
      <c r="T17" s="11"/>
      <c r="U17" s="11"/>
      <c r="V17" s="11"/>
      <c r="W17" s="11"/>
      <c r="X17" s="11"/>
      <c r="Y17" s="11"/>
      <c r="Z17" s="11"/>
    </row>
    <row r="18">
      <c r="A18" s="10" t="s">
        <v>995</v>
      </c>
      <c r="B18" s="11" t="str">
        <f>'scopus_export_Nov 16-2025_filte'!I18</f>
        <v>10.1016/j.compind.2024.104230</v>
      </c>
      <c r="C18" s="11" t="str">
        <f>'scopus_export_Nov 16-2025_filte'!E18</f>
        <v>Human Digital Twins: A systematic literature review and concept disambiguation for industry 5.0</v>
      </c>
      <c r="D18" s="12" t="str">
        <f>'scopus_export_Nov 16-2025_filte'!J18</f>
        <v>https://www.scopus.com/inward/record.uri?eid=2-s2.0-85213848996&amp;doi=10.1016%2Fj.compind.2024.104230&amp;partnerID=40&amp;md5=91e614ad93f82aa9749e6d781c80f36b</v>
      </c>
      <c r="E18" s="11"/>
      <c r="F18" s="11"/>
      <c r="G18" s="11"/>
      <c r="H18" s="11"/>
      <c r="I18" s="11"/>
      <c r="J18" s="11"/>
      <c r="K18" s="11"/>
      <c r="L18" s="11"/>
      <c r="M18" s="11"/>
      <c r="N18" s="11"/>
      <c r="O18" s="11"/>
      <c r="P18" s="11"/>
      <c r="Q18" s="11"/>
      <c r="R18" s="11"/>
      <c r="S18" s="11"/>
      <c r="T18" s="11"/>
      <c r="U18" s="11"/>
      <c r="V18" s="11"/>
      <c r="W18" s="11"/>
      <c r="X18" s="11"/>
      <c r="Y18" s="11"/>
      <c r="Z18" s="11"/>
    </row>
    <row r="19">
      <c r="A19" s="10" t="s">
        <v>996</v>
      </c>
      <c r="B19" s="11" t="str">
        <f>'scopus_export_Nov 16-2025_filte'!I19</f>
        <v>10.1109/ACCESS.2025.3610067</v>
      </c>
      <c r="C19" s="11" t="str">
        <f>'scopus_export_Nov 16-2025_filte'!E19</f>
        <v>Structuring Complex System for Digital Twin Development: A Systematic Scoping Review</v>
      </c>
      <c r="D19" s="12" t="str">
        <f>'scopus_export_Nov 16-2025_filte'!J19</f>
        <v>https://www.scopus.com/inward/record.uri?eid=2-s2.0-105016645625&amp;doi=10.1109%2FACCESS.2025.3610067&amp;partnerID=40&amp;md5=e9cffb45328dae5702b27a2fb633e97d</v>
      </c>
      <c r="E19" s="11"/>
      <c r="F19" s="11"/>
      <c r="G19" s="11"/>
      <c r="H19" s="11"/>
      <c r="I19" s="11"/>
      <c r="J19" s="11"/>
      <c r="K19" s="11"/>
      <c r="L19" s="11"/>
      <c r="M19" s="11"/>
      <c r="N19" s="11"/>
      <c r="O19" s="11"/>
      <c r="P19" s="11"/>
      <c r="Q19" s="11"/>
      <c r="R19" s="11"/>
      <c r="S19" s="11"/>
      <c r="T19" s="11"/>
      <c r="U19" s="11"/>
      <c r="V19" s="11"/>
      <c r="W19" s="11"/>
      <c r="X19" s="11"/>
      <c r="Y19" s="11"/>
      <c r="Z19" s="11"/>
    </row>
    <row r="20">
      <c r="A20" s="10" t="s">
        <v>997</v>
      </c>
      <c r="B20" s="11" t="str">
        <f>'scopus_export_Nov 16-2025_filte'!I20</f>
        <v>10.3390/app14030977</v>
      </c>
      <c r="C20" s="11" t="str">
        <f>'scopus_export_Nov 16-2025_filte'!E20</f>
        <v>Digital Twins in Software Engineering—A Systematic Literature Review and Vision</v>
      </c>
      <c r="D20" s="12" t="str">
        <f>'scopus_export_Nov 16-2025_filte'!J20</f>
        <v>https://www.scopus.com/inward/record.uri?eid=2-s2.0-85196390166&amp;doi=10.3390%2Fapp14030977&amp;partnerID=40&amp;md5=5eb84543f477f4596d8e60886c4e2f47</v>
      </c>
      <c r="E20" s="11"/>
      <c r="F20" s="11"/>
      <c r="G20" s="11"/>
      <c r="H20" s="11"/>
      <c r="I20" s="11"/>
      <c r="J20" s="11"/>
      <c r="K20" s="11"/>
      <c r="L20" s="11"/>
      <c r="M20" s="11"/>
      <c r="N20" s="11"/>
      <c r="O20" s="11"/>
      <c r="P20" s="11"/>
      <c r="Q20" s="11"/>
      <c r="R20" s="11"/>
      <c r="S20" s="11"/>
      <c r="T20" s="11"/>
      <c r="U20" s="11"/>
      <c r="V20" s="11"/>
      <c r="W20" s="11"/>
      <c r="X20" s="11"/>
      <c r="Y20" s="11"/>
      <c r="Z20" s="11"/>
    </row>
    <row r="21">
      <c r="A21" s="10" t="s">
        <v>998</v>
      </c>
      <c r="B21" s="11" t="str">
        <f>'scopus_export_Nov 16-2025_filte'!I21</f>
        <v>10.1016/j.jobe.2025.114214</v>
      </c>
      <c r="C21" s="11" t="str">
        <f>'scopus_export_Nov 16-2025_filte'!E21</f>
        <v>Data-driven and physics-based modeling approaches and their integration in building digital twins: A systematic review</v>
      </c>
      <c r="D21" s="12" t="str">
        <f>'scopus_export_Nov 16-2025_filte'!J21</f>
        <v>https://www.scopus.com/inward/record.uri?eid=2-s2.0-105017734857&amp;doi=10.1016%2Fj.jobe.2025.114214&amp;partnerID=40&amp;md5=c1f58863737ce1119fe9d5a1aa854ffb</v>
      </c>
      <c r="E21" s="11"/>
      <c r="F21" s="11"/>
      <c r="G21" s="11"/>
      <c r="H21" s="11"/>
      <c r="I21" s="11"/>
      <c r="J21" s="11"/>
      <c r="K21" s="11"/>
      <c r="L21" s="11"/>
      <c r="M21" s="11"/>
      <c r="N21" s="11"/>
      <c r="O21" s="11"/>
      <c r="P21" s="11"/>
      <c r="Q21" s="11"/>
      <c r="R21" s="11"/>
      <c r="S21" s="11"/>
      <c r="T21" s="11"/>
      <c r="U21" s="11"/>
      <c r="V21" s="11"/>
      <c r="W21" s="11"/>
      <c r="X21" s="11"/>
      <c r="Y21" s="11"/>
      <c r="Z21" s="11"/>
    </row>
    <row r="22">
      <c r="A22" s="10" t="s">
        <v>999</v>
      </c>
      <c r="B22" s="11" t="str">
        <f>'scopus_export_Nov 16-2025_filte'!I22</f>
        <v>10.1016/j.cirpj.2020.02.002</v>
      </c>
      <c r="C22" s="11" t="str">
        <f>'scopus_export_Nov 16-2025_filte'!E22</f>
        <v>Characterising the Digital Twin: A systematic literature review</v>
      </c>
      <c r="D22" s="12" t="str">
        <f>'scopus_export_Nov 16-2025_filte'!J22</f>
        <v>https://www.scopus.com/inward/record.uri?eid=2-s2.0-85081219520&amp;doi=10.1016%2Fj.cirpj.2020.02.002&amp;partnerID=40&amp;md5=48ff58a3a8fe6d1030612672627a9ff4</v>
      </c>
      <c r="E22" s="11"/>
      <c r="F22" s="11"/>
      <c r="G22" s="11"/>
      <c r="H22" s="11"/>
      <c r="I22" s="11"/>
      <c r="J22" s="11"/>
      <c r="K22" s="11"/>
      <c r="L22" s="11"/>
      <c r="M22" s="11"/>
      <c r="N22" s="11"/>
      <c r="O22" s="11"/>
      <c r="P22" s="11"/>
      <c r="Q22" s="11"/>
      <c r="R22" s="11"/>
      <c r="S22" s="11"/>
      <c r="T22" s="11"/>
      <c r="U22" s="11"/>
      <c r="V22" s="11"/>
      <c r="W22" s="11"/>
      <c r="X22" s="11"/>
      <c r="Y22" s="11"/>
      <c r="Z22" s="11"/>
    </row>
    <row r="23">
      <c r="A23" s="10" t="s">
        <v>1000</v>
      </c>
      <c r="B23" s="11" t="str">
        <f>'scopus_export_Nov 16-2025_filte'!I23</f>
        <v>10.1016/j.future.2023.12.013</v>
      </c>
      <c r="C23" s="11" t="str">
        <f>'scopus_export_Nov 16-2025_filte'!E23</f>
        <v>Ontologies in digital twins: A systematic literature review</v>
      </c>
      <c r="D23" s="12" t="str">
        <f>'scopus_export_Nov 16-2025_filte'!J23</f>
        <v>https://www.scopus.com/inward/record.uri?eid=2-s2.0-85181034395&amp;doi=10.1016%2Fj.future.2023.12.013&amp;partnerID=40&amp;md5=b0373df306d2e0b07ca6325f30170f8c</v>
      </c>
      <c r="E23" s="11"/>
      <c r="F23" s="11"/>
      <c r="G23" s="11"/>
      <c r="H23" s="11"/>
      <c r="I23" s="11"/>
      <c r="J23" s="11"/>
      <c r="K23" s="11"/>
      <c r="L23" s="11"/>
      <c r="M23" s="11"/>
      <c r="N23" s="11"/>
      <c r="O23" s="11"/>
      <c r="P23" s="11"/>
      <c r="Q23" s="11"/>
      <c r="R23" s="11"/>
      <c r="S23" s="11"/>
      <c r="T23" s="11"/>
      <c r="U23" s="11"/>
      <c r="V23" s="11"/>
      <c r="W23" s="11"/>
      <c r="X23" s="11"/>
      <c r="Y23" s="11"/>
      <c r="Z23" s="11"/>
    </row>
    <row r="24">
      <c r="A24" s="10" t="s">
        <v>1001</v>
      </c>
      <c r="B24" s="11" t="str">
        <f>'scopus_export_Nov 16-2025_filte'!I24</f>
        <v>10.1016/j.datak.2024.102304</v>
      </c>
      <c r="C24" s="11" t="str">
        <f>'scopus_export_Nov 16-2025_filte'!E24</f>
        <v>Artificial intelligence in digital twins—A systematic literature review</v>
      </c>
      <c r="D24" s="12" t="str">
        <f>'scopus_export_Nov 16-2025_filte'!J24</f>
        <v>https://www.scopus.com/inward/record.uri?eid=2-s2.0-85190070128&amp;doi=10.1016%2Fj.datak.2024.102304&amp;partnerID=40&amp;md5=3ba1ba433815b394e18632a808eb6a25</v>
      </c>
      <c r="E24" s="11"/>
      <c r="F24" s="11"/>
      <c r="G24" s="11"/>
      <c r="H24" s="11"/>
      <c r="I24" s="11"/>
      <c r="J24" s="11"/>
      <c r="K24" s="11"/>
      <c r="L24" s="11"/>
      <c r="M24" s="11"/>
      <c r="N24" s="11"/>
      <c r="O24" s="11"/>
      <c r="P24" s="11"/>
      <c r="Q24" s="11"/>
      <c r="R24" s="11"/>
      <c r="S24" s="11"/>
      <c r="T24" s="11"/>
      <c r="U24" s="11"/>
      <c r="V24" s="11"/>
      <c r="W24" s="11"/>
      <c r="X24" s="11"/>
      <c r="Y24" s="11"/>
      <c r="Z24" s="11"/>
    </row>
    <row r="25">
      <c r="A25" s="10" t="s">
        <v>1002</v>
      </c>
      <c r="B25" s="11" t="str">
        <f>'scopus_export_Nov 16-2025_filte'!I25</f>
        <v>10.3897/jucs.114607</v>
      </c>
      <c r="C25" s="11" t="str">
        <f>'scopus_export_Nov 16-2025_filte'!E25</f>
        <v>Privacy and security challenges of the digital twin: systematic literature review</v>
      </c>
      <c r="D25" s="12" t="str">
        <f>'scopus_export_Nov 16-2025_filte'!J25</f>
        <v>https://www.scopus.com/inward/record.uri?eid=2-s2.0-85215411229&amp;doi=10.3897%2Fjucs.114607&amp;partnerID=40&amp;md5=922bff14ca4a6e45eee740c5d3346c01</v>
      </c>
      <c r="E25" s="11"/>
      <c r="F25" s="11"/>
      <c r="G25" s="11"/>
      <c r="H25" s="11"/>
      <c r="I25" s="11"/>
      <c r="J25" s="11"/>
      <c r="K25" s="11"/>
      <c r="L25" s="11"/>
      <c r="M25" s="11"/>
      <c r="N25" s="11"/>
      <c r="O25" s="11"/>
      <c r="P25" s="11"/>
      <c r="Q25" s="11"/>
      <c r="R25" s="11"/>
      <c r="S25" s="11"/>
      <c r="T25" s="11"/>
      <c r="U25" s="11"/>
      <c r="V25" s="11"/>
      <c r="W25" s="11"/>
      <c r="X25" s="11"/>
      <c r="Y25" s="11"/>
      <c r="Z25" s="11"/>
    </row>
    <row r="26">
      <c r="A26" s="10" t="s">
        <v>1003</v>
      </c>
      <c r="B26" s="11" t="str">
        <f>'scopus_export_Nov 16-2025_filte'!I26</f>
        <v>10.1109/ACCESS.2024.3514923</v>
      </c>
      <c r="C26" s="11" t="str">
        <f>'scopus_export_Nov 16-2025_filte'!E26</f>
        <v>Knowledge Graphs in the Digital Twin: A Systematic Literature Review About the Combination of Semantic Technologies and Simulation in Industrial Automation</v>
      </c>
      <c r="D26" s="12" t="str">
        <f>'scopus_export_Nov 16-2025_filte'!J26</f>
        <v>https://www.scopus.com/inward/record.uri?eid=2-s2.0-85212072573&amp;doi=10.1109%2FACCESS.2024.3514923&amp;partnerID=40&amp;md5=8370c37531ebbe7cb82c6cd7369a4d70</v>
      </c>
      <c r="E26" s="11"/>
      <c r="F26" s="11"/>
      <c r="G26" s="11"/>
      <c r="H26" s="11"/>
      <c r="I26" s="11"/>
      <c r="J26" s="11"/>
      <c r="K26" s="11"/>
      <c r="L26" s="11"/>
      <c r="M26" s="11"/>
      <c r="N26" s="11"/>
      <c r="O26" s="11"/>
      <c r="P26" s="11"/>
      <c r="Q26" s="11"/>
      <c r="R26" s="11"/>
      <c r="S26" s="11"/>
      <c r="T26" s="11"/>
      <c r="U26" s="11"/>
      <c r="V26" s="11"/>
      <c r="W26" s="11"/>
      <c r="X26" s="11"/>
      <c r="Y26" s="11"/>
      <c r="Z26" s="11"/>
    </row>
    <row r="27">
      <c r="A27" s="10" t="s">
        <v>1004</v>
      </c>
      <c r="B27" s="11" t="str">
        <f>'scopus_export_Nov 16-2025_filte'!I27</f>
        <v>10.1016/j.aei.2023.101876</v>
      </c>
      <c r="C27" s="11" t="str">
        <f>'scopus_export_Nov 16-2025_filte'!E27</f>
        <v>A systematic review of digital twin about physical entities, virtual models, twin data, and applications</v>
      </c>
      <c r="D27" s="12" t="str">
        <f>'scopus_export_Nov 16-2025_filte'!J27</f>
        <v>https://www.scopus.com/inward/record.uri?eid=2-s2.0-85147190635&amp;doi=10.1016%2Fj.aei.2023.101876&amp;partnerID=40&amp;md5=1fef1c7d5560fff85bb43b7e52e3f651</v>
      </c>
      <c r="E27" s="11"/>
      <c r="F27" s="11"/>
      <c r="G27" s="11"/>
      <c r="H27" s="11"/>
      <c r="I27" s="11"/>
      <c r="J27" s="11"/>
      <c r="K27" s="11"/>
      <c r="L27" s="11"/>
      <c r="M27" s="11"/>
      <c r="N27" s="11"/>
      <c r="O27" s="11"/>
      <c r="P27" s="11"/>
      <c r="Q27" s="11"/>
      <c r="R27" s="11"/>
      <c r="S27" s="11"/>
      <c r="T27" s="11"/>
      <c r="U27" s="11"/>
      <c r="V27" s="11"/>
      <c r="W27" s="11"/>
      <c r="X27" s="11"/>
      <c r="Y27" s="11"/>
      <c r="Z27" s="11"/>
    </row>
    <row r="28">
      <c r="A28" s="13" t="s">
        <v>1005</v>
      </c>
      <c r="B28" s="14" t="str">
        <f>'scopus_export_Nov 16-2025_filte'!I28</f>
        <v>10.3390/machines13090755</v>
      </c>
      <c r="C28" s="14" t="str">
        <f>'scopus_export_Nov 16-2025_filte'!E28</f>
        <v>Electronic Artificial Intelligence and Digital Twins in Industry 5.0: A Systematic Review and Perspectives</v>
      </c>
      <c r="D28" s="15" t="str">
        <f>'scopus_export_Nov 16-2025_filte'!J28</f>
        <v>https://www.scopus.com/inward/record.uri?eid=2-s2.0-105017090734&amp;doi=10.3390%2Fmachines13090755&amp;partnerID=40&amp;md5=cca26277ff5f00407bca2077f6ce4268</v>
      </c>
      <c r="E28" s="14"/>
      <c r="F28" s="14"/>
      <c r="G28" s="14"/>
      <c r="H28" s="14"/>
      <c r="I28" s="14"/>
      <c r="J28" s="14"/>
      <c r="K28" s="14"/>
      <c r="L28" s="14"/>
      <c r="M28" s="14"/>
      <c r="N28" s="14"/>
      <c r="O28" s="14"/>
      <c r="P28" s="14"/>
      <c r="Q28" s="14"/>
      <c r="R28" s="14"/>
      <c r="S28" s="14"/>
      <c r="T28" s="14"/>
      <c r="U28" s="14"/>
      <c r="V28" s="14"/>
      <c r="W28" s="14"/>
      <c r="X28" s="14"/>
      <c r="Y28" s="14"/>
      <c r="Z28" s="14"/>
    </row>
    <row r="29">
      <c r="A29" s="10" t="s">
        <v>1006</v>
      </c>
      <c r="B29" s="11" t="str">
        <f>'scopus_export_Nov 16-2025_filte'!I29</f>
        <v>10.3390/su17052318</v>
      </c>
      <c r="C29" s="11" t="str">
        <f>'scopus_export_Nov 16-2025_filte'!E29</f>
        <v>Digital Twins, Extended Reality, and Artificial Intelligence in Manufacturing Reconfiguration: A Systematic Literature Review</v>
      </c>
      <c r="D29" s="12" t="str">
        <f>'scopus_export_Nov 16-2025_filte'!J29</f>
        <v>https://www.scopus.com/inward/record.uri?eid=2-s2.0-86000775946&amp;doi=10.3390%2Fsu17052318&amp;partnerID=40&amp;md5=43be33f4644d39296f2d527a1272e2af</v>
      </c>
      <c r="E29" s="11"/>
      <c r="F29" s="11"/>
      <c r="G29" s="11"/>
      <c r="H29" s="11"/>
      <c r="I29" s="11"/>
      <c r="J29" s="11"/>
      <c r="K29" s="11"/>
      <c r="L29" s="11"/>
      <c r="M29" s="11"/>
      <c r="N29" s="11"/>
      <c r="O29" s="11"/>
      <c r="P29" s="11"/>
      <c r="Q29" s="11"/>
      <c r="R29" s="11"/>
      <c r="S29" s="11"/>
      <c r="T29" s="11"/>
      <c r="U29" s="11"/>
      <c r="V29" s="11"/>
      <c r="W29" s="11"/>
      <c r="X29" s="11"/>
      <c r="Y29" s="11"/>
      <c r="Z29" s="11"/>
    </row>
    <row r="30">
      <c r="A30" s="10" t="s">
        <v>1007</v>
      </c>
      <c r="B30" s="11" t="str">
        <f>'scopus_export_Nov 16-2025_filte'!I30</f>
        <v/>
      </c>
      <c r="C30" s="11" t="str">
        <f>'scopus_export_Nov 16-2025_filte'!E30</f>
        <v>Digital Twin Technologies, Architecture, and Applications: A Comprehensive Systematic Review and Bibliometric Analysis</v>
      </c>
      <c r="D30" s="12" t="str">
        <f>'scopus_export_Nov 16-2025_filte'!J30</f>
        <v>https://www.scopus.com/inward/record.uri?eid=2-s2.0-85129655945&amp;doi=10.1007%2F978-3-030-98225-6_5&amp;partnerID=40&amp;md5=de0feb522c7689344c18f217a7c97903</v>
      </c>
      <c r="E30" s="11"/>
      <c r="F30" s="11"/>
      <c r="G30" s="11"/>
      <c r="H30" s="11"/>
      <c r="I30" s="11"/>
      <c r="J30" s="11"/>
      <c r="K30" s="11"/>
      <c r="L30" s="11"/>
      <c r="M30" s="11"/>
      <c r="N30" s="11"/>
      <c r="O30" s="11"/>
      <c r="P30" s="11"/>
      <c r="Q30" s="11"/>
      <c r="R30" s="11"/>
      <c r="S30" s="11"/>
      <c r="T30" s="11"/>
      <c r="U30" s="11"/>
      <c r="V30" s="11"/>
      <c r="W30" s="11"/>
      <c r="X30" s="11"/>
      <c r="Y30" s="11"/>
      <c r="Z30" s="11"/>
    </row>
    <row r="31">
      <c r="A31" s="10" t="s">
        <v>1008</v>
      </c>
      <c r="B31" s="11" t="str">
        <f>'scopus_export_Nov 16-2025_filte'!I31</f>
        <v>10.1016/j.enbuild.2024.114567</v>
      </c>
      <c r="C31" s="11" t="str">
        <f>'scopus_export_Nov 16-2025_filte'!E31</f>
        <v>Digital twin for decarbonizing operating buildings: A systematic review and implementation framework development</v>
      </c>
      <c r="D31" s="12" t="str">
        <f>'scopus_export_Nov 16-2025_filte'!J31</f>
        <v>https://www.scopus.com/inward/record.uri?eid=2-s2.0-85200210203&amp;doi=10.1016%2Fj.enbuild.2024.114567&amp;partnerID=40&amp;md5=1d09c50942a0181f58ba3b4c6adc5220</v>
      </c>
      <c r="E31" s="11"/>
      <c r="F31" s="11"/>
      <c r="G31" s="11"/>
      <c r="H31" s="11"/>
      <c r="I31" s="11"/>
      <c r="J31" s="11"/>
      <c r="K31" s="11"/>
      <c r="L31" s="11"/>
      <c r="M31" s="11"/>
      <c r="N31" s="11"/>
      <c r="O31" s="11"/>
      <c r="P31" s="11"/>
      <c r="Q31" s="11"/>
      <c r="R31" s="11"/>
      <c r="S31" s="11"/>
      <c r="T31" s="11"/>
      <c r="U31" s="11"/>
      <c r="V31" s="11"/>
      <c r="W31" s="11"/>
      <c r="X31" s="11"/>
      <c r="Y31" s="11"/>
      <c r="Z31" s="11"/>
    </row>
    <row r="32">
      <c r="A32" s="10" t="s">
        <v>1009</v>
      </c>
      <c r="B32" s="11" t="str">
        <f>'scopus_export_Nov 16-2025_filte'!I32</f>
        <v>10.3390/rs16193672</v>
      </c>
      <c r="C32" s="11" t="str">
        <f>'scopus_export_Nov 16-2025_filte'!E32</f>
        <v>Digital Twins for Research and Innovation in Support of the European Green Deal Data Space: A Systematic Review</v>
      </c>
      <c r="D32" s="12" t="str">
        <f>'scopus_export_Nov 16-2025_filte'!J32</f>
        <v>https://www.scopus.com/inward/record.uri?eid=2-s2.0-85206489227&amp;doi=10.3390%2Frs16193672&amp;partnerID=40&amp;md5=afa43be925d957290674064b6bad9b56</v>
      </c>
      <c r="E32" s="11"/>
      <c r="F32" s="11"/>
      <c r="G32" s="11"/>
      <c r="H32" s="11"/>
      <c r="I32" s="11"/>
      <c r="J32" s="11"/>
      <c r="K32" s="11"/>
      <c r="L32" s="11"/>
      <c r="M32" s="11"/>
      <c r="N32" s="11"/>
      <c r="O32" s="11"/>
      <c r="P32" s="11"/>
      <c r="Q32" s="11"/>
      <c r="R32" s="11"/>
      <c r="S32" s="11"/>
      <c r="T32" s="11"/>
      <c r="U32" s="11"/>
      <c r="V32" s="11"/>
      <c r="W32" s="11"/>
      <c r="X32" s="11"/>
      <c r="Y32" s="11"/>
      <c r="Z32" s="11"/>
    </row>
    <row r="33">
      <c r="A33" s="10" t="s">
        <v>1010</v>
      </c>
      <c r="B33" s="11" t="str">
        <f>'scopus_export_Nov 16-2025_filte'!I33</f>
        <v>10.3390/urbansci9060202</v>
      </c>
      <c r="C33" s="11" t="str">
        <f>'scopus_export_Nov 16-2025_filte'!E33</f>
        <v>Integrating Machine Learning and Digital Twins for Enhanced Smart Building Operation and Energy Management: A Systematic Review</v>
      </c>
      <c r="D33" s="12" t="str">
        <f>'scopus_export_Nov 16-2025_filte'!J33</f>
        <v>https://www.scopus.com/inward/record.uri?eid=2-s2.0-105008981432&amp;doi=10.3390%2Furbansci9060202&amp;partnerID=40&amp;md5=2278f284959edfdce4dad18669402efe</v>
      </c>
      <c r="E33" s="11"/>
      <c r="F33" s="11"/>
      <c r="G33" s="11"/>
      <c r="H33" s="11"/>
      <c r="I33" s="11"/>
      <c r="J33" s="11"/>
      <c r="K33" s="11"/>
      <c r="L33" s="11"/>
      <c r="M33" s="11"/>
      <c r="N33" s="11"/>
      <c r="O33" s="11"/>
      <c r="P33" s="11"/>
      <c r="Q33" s="11"/>
      <c r="R33" s="11"/>
      <c r="S33" s="11"/>
      <c r="T33" s="11"/>
      <c r="U33" s="11"/>
      <c r="V33" s="11"/>
      <c r="W33" s="11"/>
      <c r="X33" s="11"/>
      <c r="Y33" s="11"/>
      <c r="Z33" s="11"/>
    </row>
    <row r="34">
      <c r="A34" s="10" t="s">
        <v>1011</v>
      </c>
      <c r="B34" s="11" t="str">
        <f>'scopus_export_Nov 16-2025_filte'!I34</f>
        <v>10.1109/ICTCS65341.2025.10989480</v>
      </c>
      <c r="C34" s="11" t="str">
        <f>'scopus_export_Nov 16-2025_filte'!E34</f>
        <v>Applications of Digital Twin in Precision Medicine: A Systematic Review</v>
      </c>
      <c r="D34" s="12" t="str">
        <f>'scopus_export_Nov 16-2025_filte'!J34</f>
        <v>https://www.scopus.com/inward/record.uri?eid=2-s2.0-105007306263&amp;doi=10.1109%2FICTCS65341.2025.10989480&amp;partnerID=40&amp;md5=e0a87df2258595a4ff9171a03970ff8e</v>
      </c>
      <c r="E34" s="11"/>
      <c r="F34" s="11"/>
      <c r="G34" s="11"/>
      <c r="H34" s="11"/>
      <c r="I34" s="11"/>
      <c r="J34" s="11"/>
      <c r="K34" s="11"/>
      <c r="L34" s="11"/>
      <c r="M34" s="11"/>
      <c r="N34" s="11"/>
      <c r="O34" s="11"/>
      <c r="P34" s="11"/>
      <c r="Q34" s="11"/>
      <c r="R34" s="11"/>
      <c r="S34" s="11"/>
      <c r="T34" s="11"/>
      <c r="U34" s="11"/>
      <c r="V34" s="11"/>
      <c r="W34" s="11"/>
      <c r="X34" s="11"/>
      <c r="Y34" s="11"/>
      <c r="Z34" s="11"/>
    </row>
    <row r="35">
      <c r="A35" s="10" t="s">
        <v>1012</v>
      </c>
      <c r="B35" s="11" t="str">
        <f>'scopus_export_Nov 16-2025_filte'!I35</f>
        <v>10.1016/j.infsof.2024.107503</v>
      </c>
      <c r="C35" s="11" t="str">
        <f>'scopus_export_Nov 16-2025_filte'!E35</f>
        <v>Analysing the synergies between Multi-agent Systems and Digital Twins: A systematic literature review</v>
      </c>
      <c r="D35" s="12" t="str">
        <f>'scopus_export_Nov 16-2025_filte'!J35</f>
        <v>https://www.scopus.com/inward/record.uri?eid=2-s2.0-85195424921&amp;doi=10.1016%2Fj.infsof.2024.107503&amp;partnerID=40&amp;md5=ce0d2d117645a9406b3858fcfcd59764</v>
      </c>
      <c r="E35" s="11"/>
      <c r="F35" s="11"/>
      <c r="G35" s="11"/>
      <c r="H35" s="11"/>
      <c r="I35" s="11"/>
      <c r="J35" s="11"/>
      <c r="K35" s="11"/>
      <c r="L35" s="11"/>
      <c r="M35" s="11"/>
      <c r="N35" s="11"/>
      <c r="O35" s="11"/>
      <c r="P35" s="11"/>
      <c r="Q35" s="11"/>
      <c r="R35" s="11"/>
      <c r="S35" s="11"/>
      <c r="T35" s="11"/>
      <c r="U35" s="11"/>
      <c r="V35" s="11"/>
      <c r="W35" s="11"/>
      <c r="X35" s="11"/>
      <c r="Y35" s="11"/>
      <c r="Z35" s="11"/>
    </row>
    <row r="36">
      <c r="A36" s="10" t="s">
        <v>1013</v>
      </c>
      <c r="B36" s="11" t="str">
        <f>'scopus_export_Nov 16-2025_filte'!I36</f>
        <v>10.3390/app15063337</v>
      </c>
      <c r="C36" s="11" t="str">
        <f>'scopus_export_Nov 16-2025_filte'!E36</f>
        <v>AI-Driven Predictive Maintenance in Mining: A Systematic Literature Review on Fault Detection, Digital Twins, and Intelligent Asset Management</v>
      </c>
      <c r="D36" s="12" t="str">
        <f>'scopus_export_Nov 16-2025_filte'!J36</f>
        <v>https://www.scopus.com/inward/record.uri?eid=2-s2.0-105000967139&amp;doi=10.3390%2Fapp15063337&amp;partnerID=40&amp;md5=2ce8ac8861b9263c62ff1948af512185</v>
      </c>
      <c r="E36" s="11"/>
      <c r="F36" s="11"/>
      <c r="G36" s="11"/>
      <c r="H36" s="11"/>
      <c r="I36" s="11"/>
      <c r="J36" s="11"/>
      <c r="K36" s="11"/>
      <c r="L36" s="11"/>
      <c r="M36" s="11"/>
      <c r="N36" s="11"/>
      <c r="O36" s="11"/>
      <c r="P36" s="11"/>
      <c r="Q36" s="11"/>
      <c r="R36" s="11"/>
      <c r="S36" s="11"/>
      <c r="T36" s="11"/>
      <c r="U36" s="11"/>
      <c r="V36" s="11"/>
      <c r="W36" s="11"/>
      <c r="X36" s="11"/>
      <c r="Y36" s="11"/>
      <c r="Z36" s="11"/>
    </row>
    <row r="37">
      <c r="A37" s="10" t="s">
        <v>1014</v>
      </c>
      <c r="B37" s="11" t="str">
        <f>'scopus_export_Nov 16-2025_filte'!I37</f>
        <v>10.3390/smartcities8050175</v>
      </c>
      <c r="C37" s="11" t="str">
        <f>'scopus_export_Nov 16-2025_filte'!E37</f>
        <v>IoT, AI, and Digital Twins in Smart Cities: A Systematic Review for a Thematic Mapping and Research Agenda</v>
      </c>
      <c r="D37" s="12" t="str">
        <f>'scopus_export_Nov 16-2025_filte'!J37</f>
        <v>https://www.scopus.com/inward/record.uri?eid=2-s2.0-105020198219&amp;doi=10.3390%2Fsmartcities8050175&amp;partnerID=40&amp;md5=23e9e085154401155205b39c42dc136f</v>
      </c>
      <c r="E37" s="11"/>
      <c r="F37" s="11"/>
      <c r="G37" s="11"/>
      <c r="H37" s="11"/>
      <c r="I37" s="11"/>
      <c r="J37" s="11"/>
      <c r="K37" s="11"/>
      <c r="L37" s="11"/>
      <c r="M37" s="11"/>
      <c r="N37" s="11"/>
      <c r="O37" s="11"/>
      <c r="P37" s="11"/>
      <c r="Q37" s="11"/>
      <c r="R37" s="11"/>
      <c r="S37" s="11"/>
      <c r="T37" s="11"/>
      <c r="U37" s="11"/>
      <c r="V37" s="11"/>
      <c r="W37" s="11"/>
      <c r="X37" s="11"/>
      <c r="Y37" s="11"/>
      <c r="Z37" s="11"/>
    </row>
    <row r="38">
      <c r="A38" s="10" t="s">
        <v>1015</v>
      </c>
      <c r="B38" s="11" t="str">
        <f>'scopus_export_Nov 16-2025_filte'!I38</f>
        <v>10.3390/su15043713</v>
      </c>
      <c r="C38" s="11" t="str">
        <f>'scopus_export_Nov 16-2025_filte'!E38</f>
        <v>Integration of Blockchain and Digital Twins in the Smart Built Environment Adopting Disruptive Technologies—A Systematic Review</v>
      </c>
      <c r="D38" s="12" t="str">
        <f>'scopus_export_Nov 16-2025_filte'!J38</f>
        <v>https://www.scopus.com/inward/record.uri?eid=2-s2.0-85149252247&amp;doi=10.3390%2Fsu15043713&amp;partnerID=40&amp;md5=c5643201463b37d16e10461c9a18b6fb</v>
      </c>
      <c r="E38" s="11"/>
      <c r="F38" s="11"/>
      <c r="G38" s="11"/>
      <c r="H38" s="11"/>
      <c r="I38" s="11"/>
      <c r="J38" s="11"/>
      <c r="K38" s="11"/>
      <c r="L38" s="11"/>
      <c r="M38" s="11"/>
      <c r="N38" s="11"/>
      <c r="O38" s="11"/>
      <c r="P38" s="11"/>
      <c r="Q38" s="11"/>
      <c r="R38" s="11"/>
      <c r="S38" s="11"/>
      <c r="T38" s="11"/>
      <c r="U38" s="11"/>
      <c r="V38" s="11"/>
      <c r="W38" s="11"/>
      <c r="X38" s="11"/>
      <c r="Y38" s="11"/>
      <c r="Z38" s="11"/>
    </row>
    <row r="39">
      <c r="A39" s="10" t="s">
        <v>1016</v>
      </c>
      <c r="B39" s="11" t="str">
        <f>'scopus_export_Nov 16-2025_filte'!I39</f>
        <v>10.1016/j.compind.2021.103469</v>
      </c>
      <c r="C39" s="11" t="str">
        <f>'scopus_export_Nov 16-2025_filte'!E39</f>
        <v>Digital twin paradigm: A systematic literature review</v>
      </c>
      <c r="D39" s="12" t="str">
        <f>'scopus_export_Nov 16-2025_filte'!J39</f>
        <v>https://www.scopus.com/inward/record.uri?eid=2-s2.0-85105600759&amp;doi=10.1016%2Fj.compind.2021.103469&amp;partnerID=40&amp;md5=41206d190fd9540272f0138326c7f409</v>
      </c>
      <c r="E39" s="11"/>
      <c r="F39" s="11"/>
      <c r="G39" s="11"/>
      <c r="H39" s="11"/>
      <c r="I39" s="11"/>
      <c r="J39" s="11"/>
      <c r="K39" s="11"/>
      <c r="L39" s="11"/>
      <c r="M39" s="11"/>
      <c r="N39" s="11"/>
      <c r="O39" s="11"/>
      <c r="P39" s="11"/>
      <c r="Q39" s="11"/>
      <c r="R39" s="11"/>
      <c r="S39" s="11"/>
      <c r="T39" s="11"/>
      <c r="U39" s="11"/>
      <c r="V39" s="11"/>
      <c r="W39" s="11"/>
      <c r="X39" s="11"/>
      <c r="Y39" s="11"/>
      <c r="Z39" s="11"/>
    </row>
    <row r="40">
      <c r="A40" s="10" t="s">
        <v>1017</v>
      </c>
      <c r="B40" s="11" t="str">
        <f>'scopus_export_Nov 16-2025_filte'!I40</f>
        <v>10.3390/smartcities8050142</v>
      </c>
      <c r="C40" s="11" t="str">
        <f>'scopus_export_Nov 16-2025_filte'!E40</f>
        <v>Threat Modeling and Attacks on Digital Twins of Vehicles: A Systematic Literature Review</v>
      </c>
      <c r="D40" s="12" t="str">
        <f>'scopus_export_Nov 16-2025_filte'!J40</f>
        <v>https://www.scopus.com/inward/record.uri?eid=2-s2.0-105020026946&amp;doi=10.3390%2Fsmartcities8050142&amp;partnerID=40&amp;md5=82ccf5690826dde27880a069d354bbe0</v>
      </c>
      <c r="E40" s="11"/>
      <c r="F40" s="11"/>
      <c r="G40" s="11"/>
      <c r="H40" s="11"/>
      <c r="I40" s="11"/>
      <c r="J40" s="11"/>
      <c r="K40" s="11"/>
      <c r="L40" s="11"/>
      <c r="M40" s="11"/>
      <c r="N40" s="11"/>
      <c r="O40" s="11"/>
      <c r="P40" s="11"/>
      <c r="Q40" s="11"/>
      <c r="R40" s="11"/>
      <c r="S40" s="11"/>
      <c r="T40" s="11"/>
      <c r="U40" s="11"/>
      <c r="V40" s="11"/>
      <c r="W40" s="11"/>
      <c r="X40" s="11"/>
      <c r="Y40" s="11"/>
      <c r="Z40" s="11"/>
    </row>
    <row r="41">
      <c r="A41" s="13" t="s">
        <v>1018</v>
      </c>
      <c r="B41" s="14" t="str">
        <f>'scopus_export_Nov 16-2025_filte'!I41</f>
        <v>10.1115/ES2025-155281</v>
      </c>
      <c r="C41" s="14" t="str">
        <f>'scopus_export_Nov 16-2025_filte'!E41</f>
        <v>Digital twins for smart grid connected buildings: A systematic literature review</v>
      </c>
      <c r="D41" s="15" t="str">
        <f>'scopus_export_Nov 16-2025_filte'!J41</f>
        <v>https://www.scopus.com/inward/record.uri?eid=2-s2.0-105018580210&amp;doi=10.1115%2FES2025-155281&amp;partnerID=40&amp;md5=03938162bda3eb477717015e2572a5b8</v>
      </c>
      <c r="E41" s="14"/>
      <c r="F41" s="14"/>
      <c r="G41" s="14"/>
      <c r="H41" s="14"/>
      <c r="I41" s="14"/>
      <c r="J41" s="14"/>
      <c r="K41" s="14"/>
      <c r="L41" s="14"/>
      <c r="M41" s="14"/>
      <c r="N41" s="14"/>
      <c r="O41" s="14"/>
      <c r="P41" s="14"/>
      <c r="Q41" s="14"/>
      <c r="R41" s="14"/>
      <c r="S41" s="14"/>
      <c r="T41" s="14"/>
      <c r="U41" s="14"/>
      <c r="V41" s="14"/>
      <c r="W41" s="14"/>
      <c r="X41" s="14"/>
      <c r="Y41" s="14"/>
      <c r="Z41" s="14"/>
    </row>
    <row r="42">
      <c r="A42" s="10" t="s">
        <v>1019</v>
      </c>
      <c r="B42" s="11" t="str">
        <f>'scopus_export_Nov 16-2025_filte'!I42</f>
        <v>10.1016/j.infsof.2022.107145</v>
      </c>
      <c r="C42" s="11" t="str">
        <f>'scopus_export_Nov 16-2025_filte'!E42</f>
        <v>Digital-twin-based testing for cyber–physical systems: A systematic literature review</v>
      </c>
      <c r="D42" s="12" t="str">
        <f>'scopus_export_Nov 16-2025_filte'!J42</f>
        <v>https://www.scopus.com/inward/record.uri?eid=2-s2.0-85145973213&amp;doi=10.1016%2Fj.infsof.2022.107145&amp;partnerID=40&amp;md5=afd871929f6fac05875cf810de436e3f</v>
      </c>
      <c r="E42" s="11"/>
      <c r="F42" s="11"/>
      <c r="G42" s="11"/>
      <c r="H42" s="11"/>
      <c r="I42" s="11"/>
      <c r="J42" s="11"/>
      <c r="K42" s="11"/>
      <c r="L42" s="11"/>
      <c r="M42" s="11"/>
      <c r="N42" s="11"/>
      <c r="O42" s="11"/>
      <c r="P42" s="11"/>
      <c r="Q42" s="11"/>
      <c r="R42" s="11"/>
      <c r="S42" s="11"/>
      <c r="T42" s="11"/>
      <c r="U42" s="11"/>
      <c r="V42" s="11"/>
      <c r="W42" s="11"/>
      <c r="X42" s="11"/>
      <c r="Y42" s="11"/>
      <c r="Z42" s="11"/>
    </row>
    <row r="43">
      <c r="A43" s="10" t="s">
        <v>1020</v>
      </c>
      <c r="B43" s="11" t="str">
        <f>'scopus_export_Nov 16-2025_filte'!I43</f>
        <v>10.1016/j.jnca.2024.103857</v>
      </c>
      <c r="C43" s="11" t="str">
        <f>'scopus_export_Nov 16-2025_filte'!E43</f>
        <v>The convergence of Digital Twins and Distributed Ledger Technologies: A systematic literature review and an architectural proposal</v>
      </c>
      <c r="D43" s="12" t="str">
        <f>'scopus_export_Nov 16-2025_filte'!J43</f>
        <v>https://www.scopus.com/inward/record.uri?eid=2-s2.0-85186518800&amp;doi=10.1016%2Fj.jnca.2024.103857&amp;partnerID=40&amp;md5=a81535e3de5635c4631f20bbba5c9edf</v>
      </c>
      <c r="E43" s="11"/>
      <c r="F43" s="11"/>
      <c r="G43" s="11"/>
      <c r="H43" s="11"/>
      <c r="I43" s="11"/>
      <c r="J43" s="11"/>
      <c r="K43" s="11"/>
      <c r="L43" s="11"/>
      <c r="M43" s="11"/>
      <c r="N43" s="11"/>
      <c r="O43" s="11"/>
      <c r="P43" s="11"/>
      <c r="Q43" s="11"/>
      <c r="R43" s="11"/>
      <c r="S43" s="11"/>
      <c r="T43" s="11"/>
      <c r="U43" s="11"/>
      <c r="V43" s="11"/>
      <c r="W43" s="11"/>
      <c r="X43" s="11"/>
      <c r="Y43" s="11"/>
      <c r="Z43" s="11"/>
    </row>
    <row r="44">
      <c r="A44" s="10" t="s">
        <v>1021</v>
      </c>
      <c r="B44" s="11" t="str">
        <f>'scopus_export_Nov 16-2025_filte'!I44</f>
        <v>10.1177/21582440231220768</v>
      </c>
      <c r="C44" s="11" t="str">
        <f>'scopus_export_Nov 16-2025_filte'!E44</f>
        <v>The Digital Landscape of Smart Cities and Digital Twins: A Systematic Literature Review of Digital Terrain and 3D City Models in Enhancing Decision-Making</v>
      </c>
      <c r="D44" s="12" t="str">
        <f>'scopus_export_Nov 16-2025_filte'!J44</f>
        <v>https://www.scopus.com/inward/record.uri?eid=2-s2.0-85182144537&amp;doi=10.1177%2F21582440231220768&amp;partnerID=40&amp;md5=e4645ddb5cfa50150609ee85f59ddd6d</v>
      </c>
      <c r="E44" s="11"/>
      <c r="F44" s="11"/>
      <c r="G44" s="11"/>
      <c r="H44" s="11"/>
      <c r="I44" s="11"/>
      <c r="J44" s="11"/>
      <c r="K44" s="11"/>
      <c r="L44" s="11"/>
      <c r="M44" s="11"/>
      <c r="N44" s="11"/>
      <c r="O44" s="11"/>
      <c r="P44" s="11"/>
      <c r="Q44" s="11"/>
      <c r="R44" s="11"/>
      <c r="S44" s="11"/>
      <c r="T44" s="11"/>
      <c r="U44" s="11"/>
      <c r="V44" s="11"/>
      <c r="W44" s="11"/>
      <c r="X44" s="11"/>
      <c r="Y44" s="11"/>
      <c r="Z44" s="11"/>
    </row>
    <row r="45">
      <c r="A45" s="10" t="s">
        <v>1022</v>
      </c>
      <c r="B45" s="11" t="str">
        <f>'scopus_export_Nov 16-2025_filte'!I45</f>
        <v>10.1016/j.infsof.2022.107008</v>
      </c>
      <c r="C45" s="11" t="str">
        <f>'scopus_export_Nov 16-2025_filte'!E45</f>
        <v>Predictive maintenance using digital twins: A systematic literature review</v>
      </c>
      <c r="D45" s="12" t="str">
        <f>'scopus_export_Nov 16-2025_filte'!J45</f>
        <v>https://www.scopus.com/inward/record.uri?eid=2-s2.0-85134599958&amp;doi=10.1016%2Fj.infsof.2022.107008&amp;partnerID=40&amp;md5=0a8b3469e8918d3f024bd120171e805d</v>
      </c>
      <c r="E45" s="11"/>
      <c r="F45" s="11"/>
      <c r="G45" s="11"/>
      <c r="H45" s="11"/>
      <c r="I45" s="11"/>
      <c r="J45" s="11"/>
      <c r="K45" s="11"/>
      <c r="L45" s="11"/>
      <c r="M45" s="11"/>
      <c r="N45" s="11"/>
      <c r="O45" s="11"/>
      <c r="P45" s="11"/>
      <c r="Q45" s="11"/>
      <c r="R45" s="11"/>
      <c r="S45" s="11"/>
      <c r="T45" s="11"/>
      <c r="U45" s="11"/>
      <c r="V45" s="11"/>
      <c r="W45" s="11"/>
      <c r="X45" s="11"/>
      <c r="Y45" s="11"/>
      <c r="Z45" s="11"/>
    </row>
    <row r="46">
      <c r="A46" s="10" t="s">
        <v>1023</v>
      </c>
      <c r="B46" s="11" t="str">
        <f>'scopus_export_Nov 16-2025_filte'!I46</f>
        <v>10.3389/fbuil.2025.1523464</v>
      </c>
      <c r="C46" s="11" t="str">
        <f>'scopus_export_Nov 16-2025_filte'!E46</f>
        <v>Sustainable innovations in digital twin technology: a systematic review about energy efficiency and indoor environment quality in built environment</v>
      </c>
      <c r="D46" s="12" t="str">
        <f>'scopus_export_Nov 16-2025_filte'!J46</f>
        <v>https://www.scopus.com/inward/record.uri?eid=2-s2.0-105001738535&amp;doi=10.3389%2Ffbuil.2025.1523464&amp;partnerID=40&amp;md5=4fc7b9fc96641280599c24842151762e</v>
      </c>
      <c r="E46" s="11"/>
      <c r="F46" s="11"/>
      <c r="G46" s="11"/>
      <c r="H46" s="11"/>
      <c r="I46" s="11"/>
      <c r="J46" s="11"/>
      <c r="K46" s="11"/>
      <c r="L46" s="11"/>
      <c r="M46" s="11"/>
      <c r="N46" s="11"/>
      <c r="O46" s="11"/>
      <c r="P46" s="11"/>
      <c r="Q46" s="11"/>
      <c r="R46" s="11"/>
      <c r="S46" s="11"/>
      <c r="T46" s="11"/>
      <c r="U46" s="11"/>
      <c r="V46" s="11"/>
      <c r="W46" s="11"/>
      <c r="X46" s="11"/>
      <c r="Y46" s="11"/>
      <c r="Z46" s="11"/>
    </row>
    <row r="47">
      <c r="A47" s="10" t="s">
        <v>1024</v>
      </c>
      <c r="B47" s="11" t="str">
        <f>'scopus_export_Nov 16-2025_filte'!I47</f>
        <v>10.1109/ACCESS.2024.3453034</v>
      </c>
      <c r="C47" s="11" t="str">
        <f>'scopus_export_Nov 16-2025_filte'!E47</f>
        <v>Network Digital Twins: A Systematic Review</v>
      </c>
      <c r="D47" s="12" t="str">
        <f>'scopus_export_Nov 16-2025_filte'!J47</f>
        <v>https://www.scopus.com/inward/record.uri?eid=2-s2.0-85203658258&amp;doi=10.1109%2FACCESS.2024.3453034&amp;partnerID=40&amp;md5=a3881aec590ef99ef5d89df4523cf655</v>
      </c>
      <c r="E47" s="11"/>
      <c r="F47" s="11"/>
      <c r="G47" s="11"/>
      <c r="H47" s="11"/>
      <c r="I47" s="11"/>
      <c r="J47" s="11"/>
      <c r="K47" s="11"/>
      <c r="L47" s="11"/>
      <c r="M47" s="11"/>
      <c r="N47" s="11"/>
      <c r="O47" s="11"/>
      <c r="P47" s="11"/>
      <c r="Q47" s="11"/>
      <c r="R47" s="11"/>
      <c r="S47" s="11"/>
      <c r="T47" s="11"/>
      <c r="U47" s="11"/>
      <c r="V47" s="11"/>
      <c r="W47" s="11"/>
      <c r="X47" s="11"/>
      <c r="Y47" s="11"/>
      <c r="Z47" s="11"/>
    </row>
    <row r="48">
      <c r="A48" s="10" t="s">
        <v>1025</v>
      </c>
      <c r="B48" s="11" t="str">
        <f>'scopus_export_Nov 16-2025_filte'!I48</f>
        <v>10.1080/15583058.2023.2258084</v>
      </c>
      <c r="C48" s="11" t="str">
        <f>'scopus_export_Nov 16-2025_filte'!E48</f>
        <v>Shaping Digital Twin Concept for Built Cultural Heritage Conservation: A Systematic Literature Review</v>
      </c>
      <c r="D48" s="12" t="str">
        <f>'scopus_export_Nov 16-2025_filte'!J48</f>
        <v>https://www.scopus.com/inward/record.uri?eid=2-s2.0-85171773723&amp;doi=10.1080%2F15583058.2023.2258084&amp;partnerID=40&amp;md5=88366de9e7dd8c50d0ba243629e81fbf</v>
      </c>
      <c r="E48" s="11"/>
      <c r="F48" s="11"/>
      <c r="G48" s="11"/>
      <c r="H48" s="11"/>
      <c r="I48" s="11"/>
      <c r="J48" s="11"/>
      <c r="K48" s="11"/>
      <c r="L48" s="11"/>
      <c r="M48" s="11"/>
      <c r="N48" s="11"/>
      <c r="O48" s="11"/>
      <c r="P48" s="11"/>
      <c r="Q48" s="11"/>
      <c r="R48" s="11"/>
      <c r="S48" s="11"/>
      <c r="T48" s="11"/>
      <c r="U48" s="11"/>
      <c r="V48" s="11"/>
      <c r="W48" s="11"/>
      <c r="X48" s="11"/>
      <c r="Y48" s="11"/>
      <c r="Z48" s="11"/>
    </row>
    <row r="49">
      <c r="A49" s="13" t="s">
        <v>1026</v>
      </c>
      <c r="B49" s="14" t="str">
        <f>'scopus_export_Nov 16-2025_filte'!I49</f>
        <v>10.1108/BEPAM-03-2025-0090</v>
      </c>
      <c r="C49" s="14" t="str">
        <f>'scopus_export_Nov 16-2025_filte'!E49</f>
        <v>Digital twin for sustainable decision-making in building net zero carbon retrofitting: a systematic review</v>
      </c>
      <c r="D49" s="15" t="str">
        <f>'scopus_export_Nov 16-2025_filte'!J49</f>
        <v>https://www.scopus.com/inward/record.uri?eid=2-s2.0-105017136612&amp;doi=10.1108%2FBEPAM-03-2025-0090&amp;partnerID=40&amp;md5=de99655b5d1476f74c18009e75d82ce2</v>
      </c>
      <c r="E49" s="14"/>
      <c r="F49" s="14"/>
      <c r="G49" s="14"/>
      <c r="H49" s="14"/>
      <c r="I49" s="14"/>
      <c r="J49" s="14"/>
      <c r="K49" s="14"/>
      <c r="L49" s="14"/>
      <c r="M49" s="14"/>
      <c r="N49" s="14"/>
      <c r="O49" s="14"/>
      <c r="P49" s="14"/>
      <c r="Q49" s="14"/>
      <c r="R49" s="14"/>
      <c r="S49" s="14"/>
      <c r="T49" s="14"/>
      <c r="U49" s="14"/>
      <c r="V49" s="14"/>
      <c r="W49" s="14"/>
      <c r="X49" s="14"/>
      <c r="Y49" s="14"/>
      <c r="Z49" s="14"/>
    </row>
    <row r="50">
      <c r="A50" s="10" t="s">
        <v>1027</v>
      </c>
      <c r="B50" s="11" t="str">
        <f>'scopus_export_Nov 16-2025_filte'!I50</f>
        <v>10.1016/j.scs.2023.104862</v>
      </c>
      <c r="C50" s="11" t="str">
        <f>'scopus_export_Nov 16-2025_filte'!E50</f>
        <v>Urban Digital Twin Challenges: A Systematic Review and Perspectives for Sustainable Smart Cities</v>
      </c>
      <c r="D50" s="12" t="str">
        <f>'scopus_export_Nov 16-2025_filte'!J50</f>
        <v>https://www.scopus.com/inward/record.uri?eid=2-s2.0-85163715089&amp;doi=10.1016%2Fj.scs.2023.104862&amp;partnerID=40&amp;md5=3a973d54c56975bddbf3bf773c3473a8</v>
      </c>
      <c r="E50" s="11"/>
      <c r="F50" s="11"/>
      <c r="G50" s="11"/>
      <c r="H50" s="11"/>
      <c r="I50" s="11"/>
      <c r="J50" s="11"/>
      <c r="K50" s="11"/>
      <c r="L50" s="11"/>
      <c r="M50" s="11"/>
      <c r="N50" s="11"/>
      <c r="O50" s="11"/>
      <c r="P50" s="11"/>
      <c r="Q50" s="11"/>
      <c r="R50" s="11"/>
      <c r="S50" s="11"/>
      <c r="T50" s="11"/>
      <c r="U50" s="11"/>
      <c r="V50" s="11"/>
      <c r="W50" s="11"/>
      <c r="X50" s="11"/>
      <c r="Y50" s="11"/>
      <c r="Z50" s="11"/>
    </row>
    <row r="51">
      <c r="A51" s="10" t="s">
        <v>1028</v>
      </c>
      <c r="B51" s="11" t="str">
        <f>'scopus_export_Nov 16-2025_filte'!I51</f>
        <v>10.1016/j.mfglet.2023.08.014</v>
      </c>
      <c r="C51" s="11" t="str">
        <f>'scopus_export_Nov 16-2025_filte'!E51</f>
        <v>When is a simulation a digital twin? A systematic literature review</v>
      </c>
      <c r="D51" s="12" t="str">
        <f>'scopus_export_Nov 16-2025_filte'!J51</f>
        <v>https://www.scopus.com/inward/record.uri?eid=2-s2.0-85173285566&amp;doi=10.1016%2Fj.mfglet.2023.08.014&amp;partnerID=40&amp;md5=2439a457b6b7305947c2c1057c6b7e03</v>
      </c>
      <c r="E51" s="11"/>
      <c r="F51" s="11"/>
      <c r="G51" s="11"/>
      <c r="H51" s="11"/>
      <c r="I51" s="11"/>
      <c r="J51" s="11"/>
      <c r="K51" s="11"/>
      <c r="L51" s="11"/>
      <c r="M51" s="11"/>
      <c r="N51" s="11"/>
      <c r="O51" s="11"/>
      <c r="P51" s="11"/>
      <c r="Q51" s="11"/>
      <c r="R51" s="11"/>
      <c r="S51" s="11"/>
      <c r="T51" s="11"/>
      <c r="U51" s="11"/>
      <c r="V51" s="11"/>
      <c r="W51" s="11"/>
      <c r="X51" s="11"/>
      <c r="Y51" s="11"/>
      <c r="Z51" s="11"/>
    </row>
    <row r="52">
      <c r="A52" s="16" t="s">
        <v>1029</v>
      </c>
      <c r="B52" s="17" t="str">
        <f>'scopus_export_Nov 16-2025_filte'!I52</f>
        <v>10.1093/iti/liad024</v>
      </c>
      <c r="C52" s="17" t="str">
        <f>'scopus_export_Nov 16-2025_filte'!E52</f>
        <v>Digital twin in transportation infrastructure management: a systematic review</v>
      </c>
      <c r="D52" s="18" t="str">
        <f>'scopus_export_Nov 16-2025_filte'!J52</f>
        <v>https://www.scopus.com/inward/record.uri?eid=2-s2.0-85189082336&amp;doi=10.1093%2Fiti%2Fliad024&amp;partnerID=40&amp;md5=b23a1c26f1dc1cbd23051abebee84e3c</v>
      </c>
      <c r="E52" s="17"/>
      <c r="F52" s="17"/>
      <c r="G52" s="17"/>
      <c r="H52" s="17"/>
      <c r="I52" s="17"/>
      <c r="J52" s="17"/>
      <c r="K52" s="17"/>
      <c r="L52" s="17"/>
      <c r="M52" s="17"/>
      <c r="N52" s="17"/>
      <c r="O52" s="17"/>
      <c r="P52" s="17"/>
      <c r="Q52" s="17"/>
      <c r="R52" s="17"/>
      <c r="S52" s="17"/>
      <c r="T52" s="17"/>
      <c r="U52" s="17"/>
      <c r="V52" s="17"/>
      <c r="W52" s="17"/>
      <c r="X52" s="17"/>
      <c r="Y52" s="17"/>
      <c r="Z52" s="17"/>
    </row>
    <row r="53">
      <c r="A53" s="13" t="s">
        <v>1030</v>
      </c>
      <c r="B53" s="14" t="str">
        <f>'scopus_export_Nov 16-2025_filte'!I53</f>
        <v/>
      </c>
      <c r="C53" s="14" t="str">
        <f>'scopus_export_Nov 16-2025_filte'!E53</f>
        <v>A systematic review of generating the common data environment for city-level digital twins</v>
      </c>
      <c r="D53" s="15" t="str">
        <f>'scopus_export_Nov 16-2025_filte'!J53</f>
        <v>https://www.scopus.com/inward/record.uri?eid=2-s2.0-85207235923&amp;partnerID=40&amp;md5=81d7e06303489f52ab17b75ea2d1799d</v>
      </c>
      <c r="E53" s="14"/>
      <c r="F53" s="14"/>
      <c r="G53" s="14"/>
      <c r="H53" s="14"/>
      <c r="I53" s="14"/>
      <c r="J53" s="14"/>
      <c r="K53" s="14"/>
      <c r="L53" s="14"/>
      <c r="M53" s="14"/>
      <c r="N53" s="14"/>
      <c r="O53" s="14"/>
      <c r="P53" s="14"/>
      <c r="Q53" s="14"/>
      <c r="R53" s="14"/>
      <c r="S53" s="14"/>
      <c r="T53" s="14"/>
      <c r="U53" s="14"/>
      <c r="V53" s="14"/>
      <c r="W53" s="14"/>
      <c r="X53" s="14"/>
      <c r="Y53" s="14"/>
      <c r="Z53" s="14"/>
    </row>
    <row r="54">
      <c r="A54" s="16" t="s">
        <v>1031</v>
      </c>
      <c r="B54" s="17" t="str">
        <f>'scopus_export_Nov 16-2025_filte'!I54</f>
        <v>10.1186/s42492-023-00137-4</v>
      </c>
      <c r="C54" s="17" t="str">
        <f>'scopus_export_Nov 16-2025_filte'!E54</f>
        <v>Systematic review of digital twin technology and applications</v>
      </c>
      <c r="D54" s="18" t="str">
        <f>'scopus_export_Nov 16-2025_filte'!J54</f>
        <v>https://www.scopus.com/inward/record.uri?eid=2-s2.0-85160690565&amp;doi=10.1186%2Fs42492-023-00137-4&amp;partnerID=40&amp;md5=5d2739346364fd7fe2183c47dc114cf6</v>
      </c>
      <c r="E54" s="17"/>
      <c r="F54" s="17"/>
      <c r="G54" s="17"/>
      <c r="H54" s="17"/>
      <c r="I54" s="17"/>
      <c r="J54" s="17"/>
      <c r="K54" s="17"/>
      <c r="L54" s="17"/>
      <c r="M54" s="17"/>
      <c r="N54" s="17"/>
      <c r="O54" s="17"/>
      <c r="P54" s="17"/>
      <c r="Q54" s="17"/>
      <c r="R54" s="17"/>
      <c r="S54" s="17"/>
      <c r="T54" s="17"/>
      <c r="U54" s="17"/>
      <c r="V54" s="17"/>
      <c r="W54" s="17"/>
      <c r="X54" s="17"/>
      <c r="Y54" s="17"/>
      <c r="Z54" s="17"/>
    </row>
    <row r="55">
      <c r="A55" s="16" t="s">
        <v>1032</v>
      </c>
      <c r="B55" s="17" t="str">
        <f>'scopus_export_Nov 16-2025_filte'!I55</f>
        <v>10.1109/OJPEL.2024.3422021</v>
      </c>
      <c r="C55" s="17" t="str">
        <f>'scopus_export_Nov 16-2025_filte'!E55</f>
        <v>Digital Twin Integration With Data Fusion for Enhanced Photovoltaic System Management: A Systematic Literature Review</v>
      </c>
      <c r="D55" s="18" t="str">
        <f>'scopus_export_Nov 16-2025_filte'!J55</f>
        <v>https://www.scopus.com/inward/record.uri?eid=2-s2.0-85197498186&amp;doi=10.1109%2FOJPEL.2024.3422021&amp;partnerID=40&amp;md5=54570fa7fa287621337f8435e0104c71</v>
      </c>
      <c r="E55" s="17"/>
      <c r="F55" s="17"/>
      <c r="G55" s="17"/>
      <c r="H55" s="17"/>
      <c r="I55" s="17"/>
      <c r="J55" s="17"/>
      <c r="K55" s="17"/>
      <c r="L55" s="17"/>
      <c r="M55" s="17"/>
      <c r="N55" s="17"/>
      <c r="O55" s="17"/>
      <c r="P55" s="17"/>
      <c r="Q55" s="17"/>
      <c r="R55" s="17"/>
      <c r="S55" s="17"/>
      <c r="T55" s="17"/>
      <c r="U55" s="17"/>
      <c r="V55" s="17"/>
      <c r="W55" s="17"/>
      <c r="X55" s="17"/>
      <c r="Y55" s="17"/>
      <c r="Z55" s="17"/>
    </row>
    <row r="56">
      <c r="A56" s="13" t="s">
        <v>1033</v>
      </c>
      <c r="B56" s="14" t="str">
        <f>'scopus_export_Nov 16-2025_filte'!I56</f>
        <v>10.1080/0951192X.2024.2388927</v>
      </c>
      <c r="C56" s="14" t="str">
        <f>'scopus_export_Nov 16-2025_filte'!E56</f>
        <v>Correction to: Discrete event simulation and Digital Twins in warehouse logistics: a bibliometric and content analysis-based systematic literature review (International Journal of Computer Integrated Manufacturing, (2024), (1-28), 10.1080/0951192X.2024.2314772)</v>
      </c>
      <c r="D56" s="15" t="str">
        <f>'scopus_export_Nov 16-2025_filte'!J56</f>
        <v>https://www.scopus.com/inward/record.uri?eid=2-s2.0-85200484581&amp;doi=10.1080%2F0951192X.2024.2388927&amp;partnerID=40&amp;md5=8964775f0e123504cbe40ad4b4282b0e</v>
      </c>
      <c r="E56" s="14"/>
      <c r="F56" s="14"/>
      <c r="G56" s="14"/>
      <c r="H56" s="14"/>
      <c r="I56" s="14"/>
      <c r="J56" s="14"/>
      <c r="K56" s="14"/>
      <c r="L56" s="14"/>
      <c r="M56" s="14"/>
      <c r="N56" s="14"/>
      <c r="O56" s="14"/>
      <c r="P56" s="14"/>
      <c r="Q56" s="14"/>
      <c r="R56" s="14"/>
      <c r="S56" s="14"/>
      <c r="T56" s="14"/>
      <c r="U56" s="14"/>
      <c r="V56" s="14"/>
      <c r="W56" s="14"/>
      <c r="X56" s="14"/>
      <c r="Y56" s="14"/>
      <c r="Z56" s="14"/>
    </row>
    <row r="57">
      <c r="B57" s="5" t="str">
        <f>'scopus_export_Nov 16-2025_filte'!I57</f>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3" t="s">
        <v>324</v>
      </c>
      <c r="B1" s="3" t="s">
        <v>365</v>
      </c>
      <c r="C1" s="3" t="s">
        <v>325</v>
      </c>
      <c r="D1" s="3" t="s">
        <v>1034</v>
      </c>
      <c r="E1" s="5" t="str">
        <f>'Página5'!$A2</f>
        <v>DT.DBQ2.01</v>
      </c>
      <c r="F1" s="5" t="str">
        <f>'Página5'!$A3</f>
        <v>DT.DBQ2.02</v>
      </c>
      <c r="G1" s="5" t="str">
        <f>'Página5'!$A4</f>
        <v>DT.DBQ2.03</v>
      </c>
      <c r="H1" s="5" t="str">
        <f>'Página5'!$A5</f>
        <v>DT.DBQ2.04</v>
      </c>
      <c r="I1" s="5" t="str">
        <f>'Página5'!$A6</f>
        <v>DT.DBQ2.05</v>
      </c>
      <c r="J1" s="5" t="str">
        <f>'Página5'!$A7</f>
        <v>DT.DBQ2.06</v>
      </c>
      <c r="K1" s="5" t="str">
        <f>'Página5'!$A8</f>
        <v>DT.DBQ2.07</v>
      </c>
      <c r="L1" s="5" t="str">
        <f>'Página5'!$A9</f>
        <v>DT.DBQ2.08</v>
      </c>
      <c r="M1" s="5" t="str">
        <f>'Página5'!$A10</f>
        <v>DT.DBQ2.09</v>
      </c>
      <c r="N1" s="5" t="str">
        <f>'Página5'!$A11</f>
        <v>DT.DBQ2.10</v>
      </c>
      <c r="O1" s="5" t="str">
        <f>'Página5'!$A12</f>
        <v>DT.DBQ2.11</v>
      </c>
      <c r="P1" s="5" t="str">
        <f>'Página5'!$A13</f>
        <v>DT.DBQ2.12</v>
      </c>
      <c r="Q1" s="5" t="str">
        <f>'Página5'!$A14</f>
        <v>DT.DBQ2.13</v>
      </c>
      <c r="R1" s="5" t="str">
        <f>'Página5'!$A15</f>
        <v>DT.DBQ2.14</v>
      </c>
      <c r="S1" s="5" t="str">
        <f>'Página5'!$A16</f>
        <v>DT.DBQ2.15</v>
      </c>
      <c r="T1" s="5" t="str">
        <f>'Página5'!$A17</f>
        <v>DT.DBQ2.16</v>
      </c>
      <c r="U1" s="5" t="str">
        <f>'Página5'!$A18</f>
        <v>DT.DBQ2.17</v>
      </c>
      <c r="V1" s="5" t="str">
        <f>'Página5'!$A19</f>
        <v>DT.DBQ2.18</v>
      </c>
      <c r="W1" s="5" t="str">
        <f>'Página5'!$A20</f>
        <v>DT.DBQ2.19</v>
      </c>
      <c r="X1" s="5" t="str">
        <f>'Página5'!$A21</f>
        <v>DT.DBQ2.20</v>
      </c>
      <c r="Y1" s="5" t="str">
        <f>'Página5'!$A22</f>
        <v>DT.DBQ2.21</v>
      </c>
      <c r="Z1" s="5" t="str">
        <f>'Página5'!$A23</f>
        <v>DT.DBQ2.22</v>
      </c>
      <c r="AA1" s="5" t="str">
        <f>'Página5'!$A24</f>
        <v>DT.DBQ2.23</v>
      </c>
      <c r="AB1" s="5" t="str">
        <f>'Página5'!$A25</f>
        <v>DT.DBQ2.24</v>
      </c>
      <c r="AC1" s="5" t="str">
        <f>'Página5'!$A26</f>
        <v>DT.DBQ2.25</v>
      </c>
      <c r="AD1" s="5" t="str">
        <f>'Página5'!$A27</f>
        <v>DT.DBQ2.26</v>
      </c>
      <c r="AE1" s="14" t="str">
        <f>'Página5'!$A28</f>
        <v>DT.DBQ2.27</v>
      </c>
      <c r="AF1" s="5" t="str">
        <f>'Página5'!$A29</f>
        <v>DT.DBQ2.28</v>
      </c>
      <c r="AG1" s="5" t="str">
        <f>'Página5'!$A30</f>
        <v>DT.DBQ2.29</v>
      </c>
      <c r="AH1" s="5" t="str">
        <f>'Página5'!$A31</f>
        <v>DT.DBQ2.30</v>
      </c>
      <c r="AI1" s="5" t="str">
        <f>'Página5'!$A32</f>
        <v>DT.DBQ2.31</v>
      </c>
      <c r="AJ1" s="5" t="str">
        <f>'Página5'!$A33</f>
        <v>DT.DBQ2.32</v>
      </c>
      <c r="AK1" s="5" t="str">
        <f>'Página5'!$A34</f>
        <v>DT.DBQ2.33</v>
      </c>
      <c r="AL1" s="5" t="str">
        <f>'Página5'!$A35</f>
        <v>DT.DBQ2.34</v>
      </c>
      <c r="AM1" s="5" t="str">
        <f>'Página5'!$A36</f>
        <v>DT.DBQ2.35</v>
      </c>
      <c r="AN1" s="5" t="str">
        <f>'Página5'!$A37</f>
        <v>DT.DBQ2.36</v>
      </c>
      <c r="AO1" s="5" t="str">
        <f>'Página5'!$A38</f>
        <v>DT.DBQ2.37</v>
      </c>
      <c r="AP1" s="5" t="str">
        <f>'Página5'!$A39</f>
        <v>DT.DBQ2.38</v>
      </c>
      <c r="AQ1" s="5" t="str">
        <f>'Página5'!$A40</f>
        <v>DT.DBQ2.39</v>
      </c>
      <c r="AR1" s="5" t="str">
        <f>'Página5'!$A41</f>
        <v>DT.DBQ2.40</v>
      </c>
      <c r="AS1" s="5" t="str">
        <f>'Página5'!$A42</f>
        <v>DT.DBQ2.41</v>
      </c>
      <c r="AT1" s="5" t="str">
        <f>'Página5'!$A43</f>
        <v>DT.DBQ2.42</v>
      </c>
      <c r="AU1" s="5" t="str">
        <f>'Página5'!$A44</f>
        <v>DT.DBQ2.43</v>
      </c>
      <c r="AV1" s="5" t="str">
        <f>'Página5'!$A45</f>
        <v>DT.DBQ2.44</v>
      </c>
      <c r="AW1" s="5" t="str">
        <f>'Página5'!$A46</f>
        <v>DT.DBQ2.45</v>
      </c>
      <c r="AX1" s="5" t="str">
        <f>'Página5'!$A47</f>
        <v>DT.DBQ2.46</v>
      </c>
      <c r="AY1" s="5" t="str">
        <f>'Página5'!$A48</f>
        <v>DT.DBQ2.47</v>
      </c>
      <c r="AZ1" s="14" t="str">
        <f>'Página5'!$A49</f>
        <v>DT.DBQ2.48</v>
      </c>
      <c r="BA1" s="5" t="str">
        <f>'Página5'!$A50</f>
        <v>DT.DBQ2.49</v>
      </c>
      <c r="BB1" s="5" t="str">
        <f>'Página5'!$A51</f>
        <v>DT.DBQ2.50</v>
      </c>
      <c r="BC1" s="17" t="str">
        <f>'Página5'!$A52</f>
        <v>DT.DBQ2.51</v>
      </c>
      <c r="BD1" s="14" t="str">
        <f>'Página5'!$A53</f>
        <v>DT.DBQ2.52</v>
      </c>
      <c r="BE1" s="17" t="str">
        <f>'Página5'!$A54</f>
        <v>DT.DBQ2.53</v>
      </c>
      <c r="BF1" s="17" t="str">
        <f>'Página5'!$A55</f>
        <v>DT.DBQ2.54</v>
      </c>
      <c r="BG1" s="14" t="str">
        <f>'Página5'!$A56</f>
        <v>DT.DBQ2.55</v>
      </c>
      <c r="BH1" s="3" t="s">
        <v>1035</v>
      </c>
      <c r="BI1" s="3" t="s">
        <v>1036</v>
      </c>
      <c r="BJ1" s="3" t="s">
        <v>1037</v>
      </c>
      <c r="BK1" s="3" t="s">
        <v>1038</v>
      </c>
      <c r="BL1" s="3" t="s">
        <v>1039</v>
      </c>
      <c r="BM1" s="3" t="s">
        <v>327</v>
      </c>
      <c r="BN1" s="3" t="s">
        <v>1040</v>
      </c>
    </row>
    <row r="2">
      <c r="A2" s="3" t="s">
        <v>329</v>
      </c>
      <c r="B2" s="3" t="s">
        <v>978</v>
      </c>
      <c r="C2" s="3">
        <v>1.0</v>
      </c>
      <c r="D2" s="19">
        <f t="shared" ref="D2:D26" si="2">LOG(C2)</f>
        <v>0</v>
      </c>
      <c r="E2" s="3">
        <v>1.0</v>
      </c>
      <c r="G2" s="3">
        <v>1.0</v>
      </c>
      <c r="H2" s="3">
        <v>1.0</v>
      </c>
      <c r="N2" s="3">
        <v>1.0</v>
      </c>
      <c r="O2" s="3">
        <v>1.0</v>
      </c>
      <c r="P2" s="3">
        <v>1.0</v>
      </c>
      <c r="Q2" s="3">
        <v>1.0</v>
      </c>
      <c r="R2" s="3">
        <v>1.0</v>
      </c>
      <c r="S2" s="3">
        <v>1.0</v>
      </c>
      <c r="U2" s="3">
        <v>1.0</v>
      </c>
      <c r="V2" s="3">
        <v>1.0</v>
      </c>
      <c r="W2" s="3">
        <v>1.0</v>
      </c>
      <c r="X2" s="3">
        <v>1.0</v>
      </c>
      <c r="AA2" s="3">
        <v>1.0</v>
      </c>
      <c r="AC2" s="3">
        <v>1.0</v>
      </c>
      <c r="AD2" s="3">
        <v>1.0</v>
      </c>
      <c r="AE2" s="14"/>
      <c r="AF2" s="3">
        <v>1.0</v>
      </c>
      <c r="AH2" s="3">
        <v>1.0</v>
      </c>
      <c r="AJ2" s="3">
        <v>1.0</v>
      </c>
      <c r="AK2" s="3">
        <v>1.0</v>
      </c>
      <c r="AL2" s="3">
        <v>1.0</v>
      </c>
      <c r="AM2" s="3">
        <v>1.0</v>
      </c>
      <c r="AN2" s="3">
        <v>1.0</v>
      </c>
      <c r="AO2" s="3">
        <v>1.0</v>
      </c>
      <c r="AP2" s="3">
        <v>1.0</v>
      </c>
      <c r="AS2" s="3">
        <v>1.0</v>
      </c>
      <c r="AT2" s="3">
        <v>1.0</v>
      </c>
      <c r="AU2" s="3">
        <v>1.0</v>
      </c>
      <c r="AV2" s="3">
        <v>1.0</v>
      </c>
      <c r="AW2" s="3">
        <v>1.0</v>
      </c>
      <c r="AY2" s="3">
        <v>1.0</v>
      </c>
      <c r="AZ2" s="14"/>
      <c r="BA2" s="3">
        <v>1.0</v>
      </c>
      <c r="BC2" s="17"/>
      <c r="BD2" s="14"/>
      <c r="BE2" s="17"/>
      <c r="BF2" s="17"/>
      <c r="BG2" s="14"/>
      <c r="BH2" s="5">
        <f t="shared" ref="BH2:BH26" si="3">SUM(E2:BG2)</f>
        <v>32</v>
      </c>
      <c r="BI2" s="20">
        <f t="shared" ref="BI2:BI26" si="4">C2</f>
        <v>1</v>
      </c>
      <c r="BJ2" s="20">
        <f t="shared" ref="BJ2:BK2" si="1">LOG(BH2)</f>
        <v>1.505149978</v>
      </c>
      <c r="BK2" s="20">
        <f t="shared" si="1"/>
        <v>0</v>
      </c>
      <c r="BL2" s="20">
        <f t="shared" ref="BL2:BL26" si="6">BJ2+BK2</f>
        <v>1.505149978</v>
      </c>
      <c r="BM2" s="7">
        <f t="shared" ref="BM2:BM26" si="7">BH2/SUM($BH$2:$BH$26)</f>
        <v>0.2038216561</v>
      </c>
      <c r="BN2" s="7">
        <f>BM2</f>
        <v>0.2038216561</v>
      </c>
    </row>
    <row r="3">
      <c r="A3" s="3" t="s">
        <v>334</v>
      </c>
      <c r="B3" s="3" t="s">
        <v>978</v>
      </c>
      <c r="C3" s="3">
        <f t="shared" ref="C3:C26" si="8">C2+1</f>
        <v>2</v>
      </c>
      <c r="D3" s="19">
        <f t="shared" si="2"/>
        <v>0.3010299957</v>
      </c>
      <c r="E3" s="3">
        <v>1.0</v>
      </c>
      <c r="F3" s="3">
        <v>1.0</v>
      </c>
      <c r="L3" s="3">
        <v>1.0</v>
      </c>
      <c r="N3" s="3">
        <v>1.0</v>
      </c>
      <c r="P3" s="3">
        <v>1.0</v>
      </c>
      <c r="Q3" s="3">
        <v>1.0</v>
      </c>
      <c r="R3" s="3">
        <v>1.0</v>
      </c>
      <c r="S3" s="3">
        <v>1.0</v>
      </c>
      <c r="U3" s="3">
        <v>1.0</v>
      </c>
      <c r="W3" s="3">
        <v>1.0</v>
      </c>
      <c r="X3" s="3">
        <v>1.0</v>
      </c>
      <c r="AA3" s="3">
        <v>1.0</v>
      </c>
      <c r="AB3" s="3">
        <v>1.0</v>
      </c>
      <c r="AC3" s="3">
        <v>1.0</v>
      </c>
      <c r="AD3" s="3">
        <v>1.0</v>
      </c>
      <c r="AE3" s="14"/>
      <c r="AF3" s="3">
        <v>1.0</v>
      </c>
      <c r="AG3" s="3">
        <v>1.0</v>
      </c>
      <c r="AI3" s="3">
        <v>1.0</v>
      </c>
      <c r="AK3" s="3">
        <v>1.0</v>
      </c>
      <c r="AM3" s="3">
        <v>1.0</v>
      </c>
      <c r="AN3" s="3">
        <v>1.0</v>
      </c>
      <c r="AO3" s="3">
        <v>1.0</v>
      </c>
      <c r="AT3" s="3">
        <v>1.0</v>
      </c>
      <c r="AU3" s="3">
        <v>1.0</v>
      </c>
      <c r="AY3" s="3">
        <v>1.0</v>
      </c>
      <c r="AZ3" s="14"/>
      <c r="BA3" s="3">
        <v>1.0</v>
      </c>
      <c r="BB3" s="3">
        <v>1.0</v>
      </c>
      <c r="BC3" s="17"/>
      <c r="BD3" s="14"/>
      <c r="BE3" s="17"/>
      <c r="BF3" s="17"/>
      <c r="BG3" s="14"/>
      <c r="BH3" s="5">
        <f t="shared" si="3"/>
        <v>27</v>
      </c>
      <c r="BI3" s="20">
        <f t="shared" si="4"/>
        <v>2</v>
      </c>
      <c r="BJ3" s="20">
        <f t="shared" ref="BJ3:BK3" si="5">LOG(BH3)</f>
        <v>1.431363764</v>
      </c>
      <c r="BK3" s="20">
        <f t="shared" si="5"/>
        <v>0.3010299957</v>
      </c>
      <c r="BL3" s="20">
        <f t="shared" si="6"/>
        <v>1.73239376</v>
      </c>
      <c r="BM3" s="7">
        <f t="shared" si="7"/>
        <v>0.1719745223</v>
      </c>
      <c r="BN3" s="7">
        <f t="shared" ref="BN3:BN26" si="10">BM3+BN2</f>
        <v>0.3757961783</v>
      </c>
    </row>
    <row r="4">
      <c r="A4" s="3" t="s">
        <v>1041</v>
      </c>
      <c r="B4" s="3" t="s">
        <v>978</v>
      </c>
      <c r="C4" s="3">
        <f t="shared" si="8"/>
        <v>3</v>
      </c>
      <c r="D4" s="19">
        <f t="shared" si="2"/>
        <v>0.4771212547</v>
      </c>
      <c r="E4" s="3">
        <v>1.0</v>
      </c>
      <c r="F4" s="3">
        <v>1.0</v>
      </c>
      <c r="G4" s="3">
        <v>1.0</v>
      </c>
      <c r="H4" s="3">
        <v>1.0</v>
      </c>
      <c r="I4" s="3">
        <v>1.0</v>
      </c>
      <c r="K4" s="3">
        <v>1.0</v>
      </c>
      <c r="N4" s="3">
        <v>1.0</v>
      </c>
      <c r="P4" s="3">
        <v>1.0</v>
      </c>
      <c r="R4" s="3">
        <v>1.0</v>
      </c>
      <c r="U4" s="3">
        <v>1.0</v>
      </c>
      <c r="Z4" s="3">
        <v>1.0</v>
      </c>
      <c r="AA4" s="3">
        <v>1.0</v>
      </c>
      <c r="AB4" s="3">
        <v>1.0</v>
      </c>
      <c r="AC4" s="3">
        <v>1.0</v>
      </c>
      <c r="AD4" s="3">
        <v>1.0</v>
      </c>
      <c r="AE4" s="14"/>
      <c r="AL4" s="3">
        <v>1.0</v>
      </c>
      <c r="AN4" s="3">
        <v>1.0</v>
      </c>
      <c r="AQ4" s="3">
        <v>1.0</v>
      </c>
      <c r="AS4" s="3">
        <v>1.0</v>
      </c>
      <c r="AT4" s="3">
        <v>1.0</v>
      </c>
      <c r="AV4" s="3">
        <v>1.0</v>
      </c>
      <c r="AZ4" s="14"/>
      <c r="BC4" s="17"/>
      <c r="BD4" s="14"/>
      <c r="BE4" s="17"/>
      <c r="BF4" s="17"/>
      <c r="BG4" s="14"/>
      <c r="BH4" s="5">
        <f t="shared" si="3"/>
        <v>21</v>
      </c>
      <c r="BI4" s="20">
        <f t="shared" si="4"/>
        <v>3</v>
      </c>
      <c r="BJ4" s="20">
        <f t="shared" ref="BJ4:BK4" si="9">LOG(BH4)</f>
        <v>1.322219295</v>
      </c>
      <c r="BK4" s="20">
        <f t="shared" si="9"/>
        <v>0.4771212547</v>
      </c>
      <c r="BL4" s="20">
        <f t="shared" si="6"/>
        <v>1.799340549</v>
      </c>
      <c r="BM4" s="7">
        <f t="shared" si="7"/>
        <v>0.1337579618</v>
      </c>
      <c r="BN4" s="7">
        <f t="shared" si="10"/>
        <v>0.5095541401</v>
      </c>
    </row>
    <row r="5">
      <c r="A5" s="3" t="s">
        <v>1042</v>
      </c>
      <c r="B5" s="3" t="s">
        <v>978</v>
      </c>
      <c r="C5" s="3">
        <f t="shared" si="8"/>
        <v>4</v>
      </c>
      <c r="D5" s="19">
        <f t="shared" si="2"/>
        <v>0.6020599913</v>
      </c>
      <c r="G5" s="3">
        <v>1.0</v>
      </c>
      <c r="H5" s="3">
        <v>1.0</v>
      </c>
      <c r="I5" s="3">
        <v>1.0</v>
      </c>
      <c r="L5" s="3">
        <v>1.0</v>
      </c>
      <c r="N5" s="3">
        <v>1.0</v>
      </c>
      <c r="P5" s="3">
        <v>1.0</v>
      </c>
      <c r="Q5" s="3">
        <v>1.0</v>
      </c>
      <c r="R5" s="3">
        <v>1.0</v>
      </c>
      <c r="V5" s="3">
        <v>1.0</v>
      </c>
      <c r="W5" s="3">
        <v>1.0</v>
      </c>
      <c r="Z5" s="3">
        <v>1.0</v>
      </c>
      <c r="AE5" s="14"/>
      <c r="AL5" s="3">
        <v>1.0</v>
      </c>
      <c r="AP5" s="3">
        <v>1.0</v>
      </c>
      <c r="AQ5" s="3">
        <v>1.0</v>
      </c>
      <c r="AS5" s="3">
        <v>1.0</v>
      </c>
      <c r="AV5" s="3">
        <v>1.0</v>
      </c>
      <c r="AZ5" s="14"/>
      <c r="BA5" s="3">
        <v>1.0</v>
      </c>
      <c r="BC5" s="17"/>
      <c r="BD5" s="14"/>
      <c r="BE5" s="17"/>
      <c r="BF5" s="17"/>
      <c r="BG5" s="14"/>
      <c r="BH5" s="5">
        <f t="shared" si="3"/>
        <v>17</v>
      </c>
      <c r="BI5" s="20">
        <f t="shared" si="4"/>
        <v>4</v>
      </c>
      <c r="BJ5" s="20">
        <f t="shared" ref="BJ5:BK5" si="11">LOG(BH5)</f>
        <v>1.230448921</v>
      </c>
      <c r="BK5" s="20">
        <f t="shared" si="11"/>
        <v>0.6020599913</v>
      </c>
      <c r="BL5" s="20">
        <f t="shared" si="6"/>
        <v>1.832508913</v>
      </c>
      <c r="BM5" s="7">
        <f t="shared" si="7"/>
        <v>0.1082802548</v>
      </c>
      <c r="BN5" s="7">
        <f t="shared" si="10"/>
        <v>0.6178343949</v>
      </c>
    </row>
    <row r="6">
      <c r="A6" s="3" t="s">
        <v>1043</v>
      </c>
      <c r="B6" s="3" t="s">
        <v>978</v>
      </c>
      <c r="C6" s="3">
        <f t="shared" si="8"/>
        <v>5</v>
      </c>
      <c r="D6" s="19">
        <f t="shared" si="2"/>
        <v>0.6989700043</v>
      </c>
      <c r="F6" s="3">
        <v>1.0</v>
      </c>
      <c r="G6" s="3">
        <v>1.0</v>
      </c>
      <c r="H6" s="3">
        <v>1.0</v>
      </c>
      <c r="K6" s="3">
        <v>1.0</v>
      </c>
      <c r="P6" s="3">
        <v>1.0</v>
      </c>
      <c r="U6" s="3">
        <v>1.0</v>
      </c>
      <c r="Z6" s="3">
        <v>1.0</v>
      </c>
      <c r="AE6" s="14"/>
      <c r="AL6" s="3">
        <v>1.0</v>
      </c>
      <c r="AN6" s="3">
        <v>1.0</v>
      </c>
      <c r="AQ6" s="3">
        <v>1.0</v>
      </c>
      <c r="AS6" s="3">
        <v>1.0</v>
      </c>
      <c r="AV6" s="3">
        <v>1.0</v>
      </c>
      <c r="AZ6" s="14"/>
      <c r="BC6" s="17"/>
      <c r="BD6" s="14"/>
      <c r="BE6" s="17"/>
      <c r="BF6" s="17"/>
      <c r="BG6" s="14"/>
      <c r="BH6" s="5">
        <f t="shared" si="3"/>
        <v>12</v>
      </c>
      <c r="BI6" s="20">
        <f t="shared" si="4"/>
        <v>5</v>
      </c>
      <c r="BJ6" s="20">
        <f t="shared" ref="BJ6:BK6" si="12">LOG(BH6)</f>
        <v>1.079181246</v>
      </c>
      <c r="BK6" s="20">
        <f t="shared" si="12"/>
        <v>0.6989700043</v>
      </c>
      <c r="BL6" s="20">
        <f t="shared" si="6"/>
        <v>1.77815125</v>
      </c>
      <c r="BM6" s="7">
        <f t="shared" si="7"/>
        <v>0.07643312102</v>
      </c>
      <c r="BN6" s="7">
        <f t="shared" si="10"/>
        <v>0.6942675159</v>
      </c>
    </row>
    <row r="7">
      <c r="A7" s="3" t="s">
        <v>337</v>
      </c>
      <c r="B7" s="3" t="s">
        <v>1044</v>
      </c>
      <c r="C7" s="3">
        <f t="shared" si="8"/>
        <v>6</v>
      </c>
      <c r="D7" s="19">
        <f t="shared" si="2"/>
        <v>0.7781512504</v>
      </c>
      <c r="H7" s="3">
        <v>1.0</v>
      </c>
      <c r="I7" s="3">
        <v>1.0</v>
      </c>
      <c r="J7" s="3">
        <v>1.0</v>
      </c>
      <c r="M7" s="3">
        <v>1.0</v>
      </c>
      <c r="N7" s="3">
        <v>1.0</v>
      </c>
      <c r="U7" s="3">
        <v>1.0</v>
      </c>
      <c r="Y7" s="3">
        <v>1.0</v>
      </c>
      <c r="Z7" s="3">
        <v>1.0</v>
      </c>
      <c r="AD7" s="3">
        <v>1.0</v>
      </c>
      <c r="AE7" s="14"/>
      <c r="AX7" s="3">
        <v>1.0</v>
      </c>
      <c r="AZ7" s="14"/>
      <c r="BA7" s="3">
        <v>1.0</v>
      </c>
      <c r="BC7" s="17"/>
      <c r="BD7" s="14"/>
      <c r="BE7" s="17"/>
      <c r="BF7" s="17"/>
      <c r="BG7" s="14"/>
      <c r="BH7" s="5">
        <f t="shared" si="3"/>
        <v>11</v>
      </c>
      <c r="BI7" s="20">
        <f t="shared" si="4"/>
        <v>6</v>
      </c>
      <c r="BJ7" s="20">
        <f t="shared" ref="BJ7:BK7" si="13">LOG(BH7)</f>
        <v>1.041392685</v>
      </c>
      <c r="BK7" s="20">
        <f t="shared" si="13"/>
        <v>0.7781512504</v>
      </c>
      <c r="BL7" s="20">
        <f t="shared" si="6"/>
        <v>1.819543936</v>
      </c>
      <c r="BM7" s="7">
        <f t="shared" si="7"/>
        <v>0.07006369427</v>
      </c>
      <c r="BN7" s="7">
        <f t="shared" si="10"/>
        <v>0.7643312102</v>
      </c>
    </row>
    <row r="8">
      <c r="A8" s="3" t="s">
        <v>1045</v>
      </c>
      <c r="B8" s="3" t="s">
        <v>978</v>
      </c>
      <c r="C8" s="3">
        <f t="shared" si="8"/>
        <v>7</v>
      </c>
      <c r="D8" s="19">
        <f t="shared" si="2"/>
        <v>0.84509804</v>
      </c>
      <c r="G8" s="3">
        <v>1.0</v>
      </c>
      <c r="H8" s="3">
        <v>1.0</v>
      </c>
      <c r="I8" s="3">
        <v>1.0</v>
      </c>
      <c r="K8" s="3">
        <v>1.0</v>
      </c>
      <c r="Z8" s="3">
        <v>1.0</v>
      </c>
      <c r="AE8" s="14"/>
      <c r="AL8" s="3">
        <v>1.0</v>
      </c>
      <c r="AV8" s="3">
        <v>1.0</v>
      </c>
      <c r="AZ8" s="14"/>
      <c r="BC8" s="17"/>
      <c r="BD8" s="14"/>
      <c r="BE8" s="17"/>
      <c r="BF8" s="17"/>
      <c r="BG8" s="14"/>
      <c r="BH8" s="5">
        <f t="shared" si="3"/>
        <v>7</v>
      </c>
      <c r="BI8" s="20">
        <f t="shared" si="4"/>
        <v>7</v>
      </c>
      <c r="BJ8" s="20">
        <f t="shared" ref="BJ8:BK8" si="14">LOG(BH8)</f>
        <v>0.84509804</v>
      </c>
      <c r="BK8" s="20">
        <f t="shared" si="14"/>
        <v>0.84509804</v>
      </c>
      <c r="BL8" s="20">
        <f t="shared" si="6"/>
        <v>1.69019608</v>
      </c>
      <c r="BM8" s="7">
        <f t="shared" si="7"/>
        <v>0.04458598726</v>
      </c>
      <c r="BN8" s="7">
        <f t="shared" si="10"/>
        <v>0.8089171975</v>
      </c>
    </row>
    <row r="9">
      <c r="A9" s="3" t="s">
        <v>1046</v>
      </c>
      <c r="B9" s="3" t="s">
        <v>978</v>
      </c>
      <c r="C9" s="3">
        <f t="shared" si="8"/>
        <v>8</v>
      </c>
      <c r="D9" s="19">
        <f t="shared" si="2"/>
        <v>0.903089987</v>
      </c>
      <c r="F9" s="3">
        <v>1.0</v>
      </c>
      <c r="I9" s="3">
        <v>1.0</v>
      </c>
      <c r="K9" s="3">
        <v>1.0</v>
      </c>
      <c r="L9" s="3">
        <v>1.0</v>
      </c>
      <c r="N9" s="3">
        <v>1.0</v>
      </c>
      <c r="AE9" s="14"/>
      <c r="AP9" s="3">
        <v>1.0</v>
      </c>
      <c r="AZ9" s="14"/>
      <c r="BC9" s="17"/>
      <c r="BD9" s="14"/>
      <c r="BE9" s="17"/>
      <c r="BF9" s="17"/>
      <c r="BG9" s="14"/>
      <c r="BH9" s="5">
        <f t="shared" si="3"/>
        <v>6</v>
      </c>
      <c r="BI9" s="20">
        <f t="shared" si="4"/>
        <v>8</v>
      </c>
      <c r="BJ9" s="20">
        <f t="shared" ref="BJ9:BK9" si="15">LOG(BH9)</f>
        <v>0.7781512504</v>
      </c>
      <c r="BK9" s="20">
        <f t="shared" si="15"/>
        <v>0.903089987</v>
      </c>
      <c r="BL9" s="20">
        <f t="shared" si="6"/>
        <v>1.681241237</v>
      </c>
      <c r="BM9" s="7">
        <f t="shared" si="7"/>
        <v>0.03821656051</v>
      </c>
      <c r="BN9" s="7">
        <f t="shared" si="10"/>
        <v>0.847133758</v>
      </c>
    </row>
    <row r="10">
      <c r="A10" s="3" t="s">
        <v>1047</v>
      </c>
      <c r="B10" s="3" t="s">
        <v>978</v>
      </c>
      <c r="C10" s="3">
        <f t="shared" si="8"/>
        <v>9</v>
      </c>
      <c r="D10" s="19">
        <f t="shared" si="2"/>
        <v>0.9542425094</v>
      </c>
      <c r="H10" s="3">
        <v>1.0</v>
      </c>
      <c r="K10" s="3">
        <v>1.0</v>
      </c>
      <c r="N10" s="3">
        <v>1.0</v>
      </c>
      <c r="AE10" s="14"/>
      <c r="AV10" s="3">
        <v>1.0</v>
      </c>
      <c r="AZ10" s="14"/>
      <c r="BC10" s="17"/>
      <c r="BD10" s="14"/>
      <c r="BE10" s="17"/>
      <c r="BF10" s="17"/>
      <c r="BG10" s="14"/>
      <c r="BH10" s="5">
        <f t="shared" si="3"/>
        <v>4</v>
      </c>
      <c r="BI10" s="20">
        <f t="shared" si="4"/>
        <v>9</v>
      </c>
      <c r="BJ10" s="20">
        <f t="shared" ref="BJ10:BK10" si="16">LOG(BH10)</f>
        <v>0.6020599913</v>
      </c>
      <c r="BK10" s="20">
        <f t="shared" si="16"/>
        <v>0.9542425094</v>
      </c>
      <c r="BL10" s="20">
        <f t="shared" si="6"/>
        <v>1.556302501</v>
      </c>
      <c r="BM10" s="7">
        <f t="shared" si="7"/>
        <v>0.02547770701</v>
      </c>
      <c r="BN10" s="7">
        <f t="shared" si="10"/>
        <v>0.872611465</v>
      </c>
    </row>
    <row r="11">
      <c r="A11" s="3" t="s">
        <v>1048</v>
      </c>
      <c r="B11" s="3" t="s">
        <v>978</v>
      </c>
      <c r="C11" s="3">
        <f t="shared" si="8"/>
        <v>10</v>
      </c>
      <c r="D11" s="19">
        <f t="shared" si="2"/>
        <v>1</v>
      </c>
      <c r="F11" s="3">
        <v>1.0</v>
      </c>
      <c r="H11" s="3">
        <v>1.0</v>
      </c>
      <c r="AE11" s="14"/>
      <c r="AV11" s="3">
        <v>1.0</v>
      </c>
      <c r="AZ11" s="14"/>
      <c r="BC11" s="17"/>
      <c r="BD11" s="14"/>
      <c r="BE11" s="17"/>
      <c r="BF11" s="17"/>
      <c r="BG11" s="14"/>
      <c r="BH11" s="5">
        <f t="shared" si="3"/>
        <v>3</v>
      </c>
      <c r="BI11" s="20">
        <f t="shared" si="4"/>
        <v>10</v>
      </c>
      <c r="BJ11" s="20">
        <f t="shared" ref="BJ11:BK11" si="17">LOG(BH11)</f>
        <v>0.4771212547</v>
      </c>
      <c r="BK11" s="20">
        <f t="shared" si="17"/>
        <v>1</v>
      </c>
      <c r="BL11" s="20">
        <f t="shared" si="6"/>
        <v>1.477121255</v>
      </c>
      <c r="BM11" s="7">
        <f t="shared" si="7"/>
        <v>0.01910828025</v>
      </c>
      <c r="BN11" s="7">
        <f t="shared" si="10"/>
        <v>0.8917197452</v>
      </c>
    </row>
    <row r="12">
      <c r="A12" s="3" t="s">
        <v>1049</v>
      </c>
      <c r="B12" s="3" t="s">
        <v>978</v>
      </c>
      <c r="C12" s="3">
        <f t="shared" si="8"/>
        <v>11</v>
      </c>
      <c r="D12" s="19">
        <f t="shared" si="2"/>
        <v>1.041392685</v>
      </c>
      <c r="H12" s="3">
        <v>1.0</v>
      </c>
      <c r="I12" s="3">
        <v>1.0</v>
      </c>
      <c r="AE12" s="14"/>
      <c r="AZ12" s="14"/>
      <c r="BC12" s="17"/>
      <c r="BD12" s="14"/>
      <c r="BE12" s="17"/>
      <c r="BF12" s="17"/>
      <c r="BG12" s="14"/>
      <c r="BH12" s="5">
        <f t="shared" si="3"/>
        <v>2</v>
      </c>
      <c r="BI12" s="20">
        <f t="shared" si="4"/>
        <v>11</v>
      </c>
      <c r="BJ12" s="20">
        <f t="shared" ref="BJ12:BK12" si="18">LOG(BH12)</f>
        <v>0.3010299957</v>
      </c>
      <c r="BK12" s="20">
        <f t="shared" si="18"/>
        <v>1.041392685</v>
      </c>
      <c r="BL12" s="20">
        <f t="shared" si="6"/>
        <v>1.342422681</v>
      </c>
      <c r="BM12" s="7">
        <f t="shared" si="7"/>
        <v>0.0127388535</v>
      </c>
      <c r="BN12" s="7">
        <f t="shared" si="10"/>
        <v>0.9044585987</v>
      </c>
    </row>
    <row r="13">
      <c r="A13" s="3" t="s">
        <v>1050</v>
      </c>
      <c r="B13" s="3" t="s">
        <v>978</v>
      </c>
      <c r="C13" s="3">
        <f t="shared" si="8"/>
        <v>12</v>
      </c>
      <c r="D13" s="19">
        <f t="shared" si="2"/>
        <v>1.079181246</v>
      </c>
      <c r="U13" s="3">
        <v>1.0</v>
      </c>
      <c r="Z13" s="3">
        <v>1.0</v>
      </c>
      <c r="AE13" s="14"/>
      <c r="AZ13" s="14"/>
      <c r="BC13" s="17"/>
      <c r="BD13" s="14"/>
      <c r="BE13" s="17"/>
      <c r="BF13" s="17"/>
      <c r="BG13" s="14"/>
      <c r="BH13" s="5">
        <f t="shared" si="3"/>
        <v>2</v>
      </c>
      <c r="BI13" s="20">
        <f t="shared" si="4"/>
        <v>12</v>
      </c>
      <c r="BJ13" s="20">
        <f t="shared" ref="BJ13:BK13" si="19">LOG(BH13)</f>
        <v>0.3010299957</v>
      </c>
      <c r="BK13" s="20">
        <f t="shared" si="19"/>
        <v>1.079181246</v>
      </c>
      <c r="BL13" s="20">
        <f t="shared" si="6"/>
        <v>1.380211242</v>
      </c>
      <c r="BM13" s="7">
        <f t="shared" si="7"/>
        <v>0.0127388535</v>
      </c>
      <c r="BN13" s="7">
        <f t="shared" si="10"/>
        <v>0.9171974522</v>
      </c>
    </row>
    <row r="14">
      <c r="A14" s="3" t="s">
        <v>1051</v>
      </c>
      <c r="B14" s="3" t="s">
        <v>978</v>
      </c>
      <c r="C14" s="3">
        <f t="shared" si="8"/>
        <v>13</v>
      </c>
      <c r="D14" s="19">
        <f t="shared" si="2"/>
        <v>1.113943352</v>
      </c>
      <c r="H14" s="3">
        <v>1.0</v>
      </c>
      <c r="AE14" s="14"/>
      <c r="AZ14" s="14"/>
      <c r="BC14" s="17"/>
      <c r="BD14" s="14"/>
      <c r="BE14" s="17"/>
      <c r="BF14" s="17"/>
      <c r="BG14" s="13"/>
      <c r="BH14" s="5">
        <f t="shared" si="3"/>
        <v>1</v>
      </c>
      <c r="BI14" s="20">
        <f t="shared" si="4"/>
        <v>13</v>
      </c>
      <c r="BJ14" s="20">
        <f t="shared" ref="BJ14:BK14" si="20">LOG(BH14)</f>
        <v>0</v>
      </c>
      <c r="BK14" s="20">
        <f t="shared" si="20"/>
        <v>1.113943352</v>
      </c>
      <c r="BL14" s="20">
        <f t="shared" si="6"/>
        <v>1.113943352</v>
      </c>
      <c r="BM14" s="7">
        <f t="shared" si="7"/>
        <v>0.006369426752</v>
      </c>
      <c r="BN14" s="7">
        <f t="shared" si="10"/>
        <v>0.923566879</v>
      </c>
    </row>
    <row r="15">
      <c r="A15" s="3" t="s">
        <v>1052</v>
      </c>
      <c r="B15" s="3" t="s">
        <v>978</v>
      </c>
      <c r="C15" s="3">
        <f t="shared" si="8"/>
        <v>14</v>
      </c>
      <c r="D15" s="19">
        <f t="shared" si="2"/>
        <v>1.146128036</v>
      </c>
      <c r="P15" s="3">
        <v>1.0</v>
      </c>
      <c r="AE15" s="14"/>
      <c r="AZ15" s="14"/>
      <c r="BC15" s="17"/>
      <c r="BD15" s="14"/>
      <c r="BE15" s="17"/>
      <c r="BF15" s="17"/>
      <c r="BG15" s="13"/>
      <c r="BH15" s="5">
        <f t="shared" si="3"/>
        <v>1</v>
      </c>
      <c r="BI15" s="20">
        <f t="shared" si="4"/>
        <v>14</v>
      </c>
      <c r="BJ15" s="20">
        <f t="shared" ref="BJ15:BK15" si="21">LOG(BH15)</f>
        <v>0</v>
      </c>
      <c r="BK15" s="20">
        <f t="shared" si="21"/>
        <v>1.146128036</v>
      </c>
      <c r="BL15" s="20">
        <f t="shared" si="6"/>
        <v>1.146128036</v>
      </c>
      <c r="BM15" s="7">
        <f t="shared" si="7"/>
        <v>0.006369426752</v>
      </c>
      <c r="BN15" s="7">
        <f t="shared" si="10"/>
        <v>0.9299363057</v>
      </c>
    </row>
    <row r="16">
      <c r="A16" s="3" t="s">
        <v>1053</v>
      </c>
      <c r="B16" s="3" t="s">
        <v>978</v>
      </c>
      <c r="C16" s="3">
        <f t="shared" si="8"/>
        <v>15</v>
      </c>
      <c r="D16" s="19">
        <f t="shared" si="2"/>
        <v>1.176091259</v>
      </c>
      <c r="R16" s="3">
        <v>1.0</v>
      </c>
      <c r="AE16" s="14"/>
      <c r="AZ16" s="14"/>
      <c r="BC16" s="17"/>
      <c r="BD16" s="14"/>
      <c r="BE16" s="17"/>
      <c r="BF16" s="17"/>
      <c r="BG16" s="13"/>
      <c r="BH16" s="5">
        <f t="shared" si="3"/>
        <v>1</v>
      </c>
      <c r="BI16" s="20">
        <f t="shared" si="4"/>
        <v>15</v>
      </c>
      <c r="BJ16" s="20">
        <f t="shared" ref="BJ16:BK16" si="22">LOG(BH16)</f>
        <v>0</v>
      </c>
      <c r="BK16" s="20">
        <f t="shared" si="22"/>
        <v>1.176091259</v>
      </c>
      <c r="BL16" s="20">
        <f t="shared" si="6"/>
        <v>1.176091259</v>
      </c>
      <c r="BM16" s="7">
        <f t="shared" si="7"/>
        <v>0.006369426752</v>
      </c>
      <c r="BN16" s="7">
        <f t="shared" si="10"/>
        <v>0.9363057325</v>
      </c>
    </row>
    <row r="17">
      <c r="A17" s="3" t="s">
        <v>1054</v>
      </c>
      <c r="B17" s="3" t="s">
        <v>978</v>
      </c>
      <c r="C17" s="3">
        <f t="shared" si="8"/>
        <v>16</v>
      </c>
      <c r="D17" s="19">
        <f t="shared" si="2"/>
        <v>1.204119983</v>
      </c>
      <c r="S17" s="3">
        <v>1.0</v>
      </c>
      <c r="AE17" s="14"/>
      <c r="AZ17" s="14"/>
      <c r="BC17" s="17"/>
      <c r="BD17" s="14"/>
      <c r="BE17" s="17"/>
      <c r="BF17" s="17"/>
      <c r="BG17" s="13"/>
      <c r="BH17" s="5">
        <f t="shared" si="3"/>
        <v>1</v>
      </c>
      <c r="BI17" s="20">
        <f t="shared" si="4"/>
        <v>16</v>
      </c>
      <c r="BJ17" s="20">
        <f t="shared" ref="BJ17:BK17" si="23">LOG(BH17)</f>
        <v>0</v>
      </c>
      <c r="BK17" s="20">
        <f t="shared" si="23"/>
        <v>1.204119983</v>
      </c>
      <c r="BL17" s="20">
        <f t="shared" si="6"/>
        <v>1.204119983</v>
      </c>
      <c r="BM17" s="7">
        <f t="shared" si="7"/>
        <v>0.006369426752</v>
      </c>
      <c r="BN17" s="7">
        <f t="shared" si="10"/>
        <v>0.9426751592</v>
      </c>
    </row>
    <row r="18">
      <c r="A18" s="3" t="s">
        <v>1055</v>
      </c>
      <c r="B18" s="3" t="s">
        <v>978</v>
      </c>
      <c r="C18" s="3">
        <f t="shared" si="8"/>
        <v>17</v>
      </c>
      <c r="D18" s="19">
        <f t="shared" si="2"/>
        <v>1.230448921</v>
      </c>
      <c r="S18" s="3">
        <v>1.0</v>
      </c>
      <c r="AE18" s="14"/>
      <c r="AZ18" s="14"/>
      <c r="BC18" s="17"/>
      <c r="BD18" s="14"/>
      <c r="BE18" s="17"/>
      <c r="BF18" s="17"/>
      <c r="BG18" s="13"/>
      <c r="BH18" s="5">
        <f t="shared" si="3"/>
        <v>1</v>
      </c>
      <c r="BI18" s="20">
        <f t="shared" si="4"/>
        <v>17</v>
      </c>
      <c r="BJ18" s="20">
        <f t="shared" ref="BJ18:BK18" si="24">LOG(BH18)</f>
        <v>0</v>
      </c>
      <c r="BK18" s="20">
        <f t="shared" si="24"/>
        <v>1.230448921</v>
      </c>
      <c r="BL18" s="20">
        <f t="shared" si="6"/>
        <v>1.230448921</v>
      </c>
      <c r="BM18" s="7">
        <f t="shared" si="7"/>
        <v>0.006369426752</v>
      </c>
      <c r="BN18" s="7">
        <f t="shared" si="10"/>
        <v>0.949044586</v>
      </c>
    </row>
    <row r="19">
      <c r="A19" s="3" t="s">
        <v>1056</v>
      </c>
      <c r="B19" s="3" t="s">
        <v>978</v>
      </c>
      <c r="C19" s="3">
        <f t="shared" si="8"/>
        <v>18</v>
      </c>
      <c r="D19" s="19">
        <f t="shared" si="2"/>
        <v>1.255272505</v>
      </c>
      <c r="S19" s="3">
        <v>1.0</v>
      </c>
      <c r="AE19" s="14"/>
      <c r="AZ19" s="14"/>
      <c r="BC19" s="17"/>
      <c r="BD19" s="14"/>
      <c r="BE19" s="17"/>
      <c r="BF19" s="17"/>
      <c r="BG19" s="13"/>
      <c r="BH19" s="5">
        <f t="shared" si="3"/>
        <v>1</v>
      </c>
      <c r="BI19" s="20">
        <f t="shared" si="4"/>
        <v>18</v>
      </c>
      <c r="BJ19" s="20">
        <f t="shared" ref="BJ19:BK19" si="25">LOG(BH19)</f>
        <v>0</v>
      </c>
      <c r="BK19" s="20">
        <f t="shared" si="25"/>
        <v>1.255272505</v>
      </c>
      <c r="BL19" s="20">
        <f t="shared" si="6"/>
        <v>1.255272505</v>
      </c>
      <c r="BM19" s="7">
        <f t="shared" si="7"/>
        <v>0.006369426752</v>
      </c>
      <c r="BN19" s="7">
        <f t="shared" si="10"/>
        <v>0.9554140127</v>
      </c>
    </row>
    <row r="20">
      <c r="A20" s="3" t="s">
        <v>1057</v>
      </c>
      <c r="B20" s="3" t="s">
        <v>1058</v>
      </c>
      <c r="C20" s="3">
        <f t="shared" si="8"/>
        <v>19</v>
      </c>
      <c r="D20" s="19">
        <f t="shared" si="2"/>
        <v>1.278753601</v>
      </c>
      <c r="T20" s="3">
        <v>1.0</v>
      </c>
      <c r="AE20" s="14"/>
      <c r="AZ20" s="14"/>
      <c r="BC20" s="17"/>
      <c r="BD20" s="14"/>
      <c r="BE20" s="17"/>
      <c r="BF20" s="17"/>
      <c r="BG20" s="13"/>
      <c r="BH20" s="5">
        <f t="shared" si="3"/>
        <v>1</v>
      </c>
      <c r="BI20" s="20">
        <f t="shared" si="4"/>
        <v>19</v>
      </c>
      <c r="BJ20" s="20">
        <f t="shared" ref="BJ20:BK20" si="26">LOG(BH20)</f>
        <v>0</v>
      </c>
      <c r="BK20" s="20">
        <f t="shared" si="26"/>
        <v>1.278753601</v>
      </c>
      <c r="BL20" s="20">
        <f t="shared" si="6"/>
        <v>1.278753601</v>
      </c>
      <c r="BM20" s="7">
        <f t="shared" si="7"/>
        <v>0.006369426752</v>
      </c>
      <c r="BN20" s="7">
        <f t="shared" si="10"/>
        <v>0.9617834395</v>
      </c>
    </row>
    <row r="21">
      <c r="A21" s="3" t="s">
        <v>1059</v>
      </c>
      <c r="B21" s="3" t="s">
        <v>978</v>
      </c>
      <c r="C21" s="3">
        <f t="shared" si="8"/>
        <v>20</v>
      </c>
      <c r="D21" s="19">
        <f t="shared" si="2"/>
        <v>1.301029996</v>
      </c>
      <c r="U21" s="3">
        <v>1.0</v>
      </c>
      <c r="AE21" s="14"/>
      <c r="AZ21" s="14"/>
      <c r="BC21" s="17"/>
      <c r="BD21" s="14"/>
      <c r="BE21" s="17"/>
      <c r="BF21" s="17"/>
      <c r="BG21" s="13"/>
      <c r="BH21" s="5">
        <f t="shared" si="3"/>
        <v>1</v>
      </c>
      <c r="BI21" s="20">
        <f t="shared" si="4"/>
        <v>20</v>
      </c>
      <c r="BJ21" s="20">
        <f t="shared" ref="BJ21:BK21" si="27">LOG(BH21)</f>
        <v>0</v>
      </c>
      <c r="BK21" s="20">
        <f t="shared" si="27"/>
        <v>1.301029996</v>
      </c>
      <c r="BL21" s="20">
        <f t="shared" si="6"/>
        <v>1.301029996</v>
      </c>
      <c r="BM21" s="7">
        <f t="shared" si="7"/>
        <v>0.006369426752</v>
      </c>
      <c r="BN21" s="7">
        <f t="shared" si="10"/>
        <v>0.9681528662</v>
      </c>
    </row>
    <row r="22">
      <c r="A22" s="3" t="s">
        <v>1060</v>
      </c>
      <c r="B22" s="3" t="s">
        <v>1044</v>
      </c>
      <c r="C22" s="3">
        <f t="shared" si="8"/>
        <v>21</v>
      </c>
      <c r="D22" s="19">
        <f t="shared" si="2"/>
        <v>1.322219295</v>
      </c>
      <c r="U22" s="3">
        <v>1.0</v>
      </c>
      <c r="AE22" s="14"/>
      <c r="AZ22" s="14"/>
      <c r="BC22" s="17"/>
      <c r="BD22" s="14"/>
      <c r="BE22" s="17"/>
      <c r="BF22" s="17"/>
      <c r="BG22" s="13"/>
      <c r="BH22" s="5">
        <f t="shared" si="3"/>
        <v>1</v>
      </c>
      <c r="BI22" s="20">
        <f t="shared" si="4"/>
        <v>21</v>
      </c>
      <c r="BJ22" s="20">
        <f t="shared" ref="BJ22:BK22" si="28">LOG(BH22)</f>
        <v>0</v>
      </c>
      <c r="BK22" s="20">
        <f t="shared" si="28"/>
        <v>1.322219295</v>
      </c>
      <c r="BL22" s="20">
        <f t="shared" si="6"/>
        <v>1.322219295</v>
      </c>
      <c r="BM22" s="7">
        <f t="shared" si="7"/>
        <v>0.006369426752</v>
      </c>
      <c r="BN22" s="7">
        <f t="shared" si="10"/>
        <v>0.974522293</v>
      </c>
    </row>
    <row r="23">
      <c r="A23" s="3" t="s">
        <v>1061</v>
      </c>
      <c r="C23" s="3">
        <f t="shared" si="8"/>
        <v>22</v>
      </c>
      <c r="D23" s="19">
        <f t="shared" si="2"/>
        <v>1.342422681</v>
      </c>
      <c r="Z23" s="3">
        <v>1.0</v>
      </c>
      <c r="AE23" s="14"/>
      <c r="AZ23" s="14"/>
      <c r="BC23" s="17"/>
      <c r="BD23" s="14"/>
      <c r="BE23" s="17"/>
      <c r="BF23" s="17"/>
      <c r="BG23" s="13"/>
      <c r="BH23" s="5">
        <f t="shared" si="3"/>
        <v>1</v>
      </c>
      <c r="BI23" s="20">
        <f t="shared" si="4"/>
        <v>22</v>
      </c>
      <c r="BJ23" s="20">
        <f t="shared" ref="BJ23:BK23" si="29">LOG(BH23)</f>
        <v>0</v>
      </c>
      <c r="BK23" s="20">
        <f t="shared" si="29"/>
        <v>1.342422681</v>
      </c>
      <c r="BL23" s="20">
        <f t="shared" si="6"/>
        <v>1.342422681</v>
      </c>
      <c r="BM23" s="7">
        <f t="shared" si="7"/>
        <v>0.006369426752</v>
      </c>
      <c r="BN23" s="7">
        <f t="shared" si="10"/>
        <v>0.9808917197</v>
      </c>
    </row>
    <row r="24">
      <c r="A24" s="3" t="s">
        <v>1062</v>
      </c>
      <c r="C24" s="3">
        <f t="shared" si="8"/>
        <v>23</v>
      </c>
      <c r="D24" s="19">
        <f t="shared" si="2"/>
        <v>1.361727836</v>
      </c>
      <c r="Z24" s="3">
        <v>1.0</v>
      </c>
      <c r="AE24" s="14"/>
      <c r="AZ24" s="14"/>
      <c r="BC24" s="17"/>
      <c r="BD24" s="14"/>
      <c r="BE24" s="17"/>
      <c r="BF24" s="17"/>
      <c r="BG24" s="13"/>
      <c r="BH24" s="5">
        <f t="shared" si="3"/>
        <v>1</v>
      </c>
      <c r="BI24" s="20">
        <f t="shared" si="4"/>
        <v>23</v>
      </c>
      <c r="BJ24" s="20">
        <f t="shared" ref="BJ24:BK24" si="30">LOG(BH24)</f>
        <v>0</v>
      </c>
      <c r="BK24" s="20">
        <f t="shared" si="30"/>
        <v>1.361727836</v>
      </c>
      <c r="BL24" s="20">
        <f t="shared" si="6"/>
        <v>1.361727836</v>
      </c>
      <c r="BM24" s="7">
        <f t="shared" si="7"/>
        <v>0.006369426752</v>
      </c>
      <c r="BN24" s="7">
        <f t="shared" si="10"/>
        <v>0.9872611465</v>
      </c>
    </row>
    <row r="25">
      <c r="A25" s="3" t="s">
        <v>1063</v>
      </c>
      <c r="C25" s="3">
        <f t="shared" si="8"/>
        <v>24</v>
      </c>
      <c r="D25" s="19">
        <f t="shared" si="2"/>
        <v>1.380211242</v>
      </c>
      <c r="AE25" s="14"/>
      <c r="AI25" s="3">
        <v>1.0</v>
      </c>
      <c r="AZ25" s="14"/>
      <c r="BC25" s="17"/>
      <c r="BD25" s="14"/>
      <c r="BE25" s="17"/>
      <c r="BF25" s="17"/>
      <c r="BG25" s="13"/>
      <c r="BH25" s="5">
        <f t="shared" si="3"/>
        <v>1</v>
      </c>
      <c r="BI25" s="20">
        <f t="shared" si="4"/>
        <v>24</v>
      </c>
      <c r="BJ25" s="20">
        <f t="shared" ref="BJ25:BK25" si="31">LOG(BH25)</f>
        <v>0</v>
      </c>
      <c r="BK25" s="20">
        <f t="shared" si="31"/>
        <v>1.380211242</v>
      </c>
      <c r="BL25" s="20">
        <f t="shared" si="6"/>
        <v>1.380211242</v>
      </c>
      <c r="BM25" s="7">
        <f t="shared" si="7"/>
        <v>0.006369426752</v>
      </c>
      <c r="BN25" s="7">
        <f t="shared" si="10"/>
        <v>0.9936305732</v>
      </c>
    </row>
    <row r="26">
      <c r="A26" s="3" t="s">
        <v>1064</v>
      </c>
      <c r="C26" s="3">
        <f t="shared" si="8"/>
        <v>25</v>
      </c>
      <c r="D26" s="19">
        <f t="shared" si="2"/>
        <v>1.397940009</v>
      </c>
      <c r="AE26" s="14"/>
      <c r="AZ26" s="14"/>
      <c r="BB26" s="3">
        <v>1.0</v>
      </c>
      <c r="BC26" s="17"/>
      <c r="BD26" s="14"/>
      <c r="BE26" s="17"/>
      <c r="BF26" s="17"/>
      <c r="BG26" s="13"/>
      <c r="BH26" s="5">
        <f t="shared" si="3"/>
        <v>1</v>
      </c>
      <c r="BI26" s="20">
        <f t="shared" si="4"/>
        <v>25</v>
      </c>
      <c r="BJ26" s="20">
        <f t="shared" ref="BJ26:BK26" si="32">LOG(BH26)</f>
        <v>0</v>
      </c>
      <c r="BK26" s="20">
        <f t="shared" si="32"/>
        <v>1.397940009</v>
      </c>
      <c r="BL26" s="20">
        <f t="shared" si="6"/>
        <v>1.397940009</v>
      </c>
      <c r="BM26" s="7">
        <f t="shared" si="7"/>
        <v>0.006369426752</v>
      </c>
      <c r="BN26" s="7">
        <f t="shared" si="10"/>
        <v>1</v>
      </c>
    </row>
    <row r="28">
      <c r="AE28" s="14"/>
      <c r="AZ28" s="21"/>
      <c r="BA28" s="21"/>
      <c r="BB28" s="21"/>
      <c r="BC28" s="21"/>
      <c r="BD28" s="21"/>
      <c r="BE28" s="21"/>
      <c r="BF28" s="21"/>
      <c r="BG28" s="22"/>
      <c r="BJ28" s="20"/>
      <c r="BK28" s="20"/>
      <c r="BL28" s="20"/>
      <c r="BM28" s="7"/>
      <c r="BN28" s="7"/>
    </row>
    <row r="29">
      <c r="AE29" s="14"/>
      <c r="AZ29" s="21"/>
      <c r="BA29" s="21"/>
      <c r="BB29" s="21"/>
      <c r="BC29" s="21"/>
      <c r="BD29" s="21"/>
      <c r="BE29" s="21"/>
      <c r="BF29" s="21"/>
      <c r="BG29" s="22"/>
      <c r="BJ29" s="20"/>
      <c r="BK29" s="20"/>
      <c r="BL29" s="20"/>
      <c r="BM29" s="7"/>
      <c r="BN29" s="7"/>
    </row>
    <row r="30">
      <c r="AE30" s="14"/>
      <c r="AZ30" s="21"/>
      <c r="BA30" s="21"/>
      <c r="BB30" s="21"/>
      <c r="BC30" s="21"/>
      <c r="BD30" s="21"/>
      <c r="BE30" s="21"/>
      <c r="BF30" s="21"/>
      <c r="BG30" s="21"/>
      <c r="BI30" s="20"/>
      <c r="BJ30" s="20"/>
      <c r="BK30" s="20"/>
      <c r="BL30" s="20"/>
      <c r="BM30" s="7"/>
      <c r="BN30" s="7"/>
    </row>
    <row r="31">
      <c r="AE31" s="14"/>
      <c r="AZ31" s="21"/>
      <c r="BA31" s="21"/>
      <c r="BB31" s="21"/>
      <c r="BC31" s="21"/>
      <c r="BD31" s="21"/>
      <c r="BE31" s="21"/>
      <c r="BF31" s="21"/>
      <c r="BG31" s="21"/>
      <c r="BI31" s="20"/>
      <c r="BJ31" s="20"/>
      <c r="BK31" s="20"/>
      <c r="BL31" s="20"/>
      <c r="BM31" s="7"/>
      <c r="BN31" s="7"/>
    </row>
    <row r="32">
      <c r="AE32" s="14"/>
      <c r="AZ32" s="21"/>
      <c r="BA32" s="21"/>
      <c r="BB32" s="21"/>
      <c r="BC32" s="21"/>
      <c r="BD32" s="21"/>
      <c r="BE32" s="21"/>
      <c r="BF32" s="21"/>
      <c r="BG32" s="21"/>
      <c r="BI32" s="20"/>
      <c r="BJ32" s="20"/>
      <c r="BK32" s="20"/>
      <c r="BL32" s="20"/>
      <c r="BM32" s="7"/>
      <c r="BN32" s="7"/>
    </row>
    <row r="33">
      <c r="AE33" s="14"/>
      <c r="AZ33" s="21"/>
      <c r="BA33" s="21"/>
      <c r="BB33" s="21"/>
      <c r="BC33" s="21"/>
      <c r="BD33" s="21"/>
      <c r="BE33" s="21"/>
      <c r="BF33" s="21"/>
      <c r="BG33" s="21"/>
      <c r="BI33" s="20"/>
      <c r="BJ33" s="20"/>
      <c r="BK33" s="20"/>
      <c r="BL33" s="20"/>
      <c r="BM33" s="7"/>
      <c r="BN33" s="7"/>
    </row>
    <row r="34">
      <c r="AE34" s="14"/>
      <c r="AZ34" s="21"/>
      <c r="BA34" s="21"/>
      <c r="BB34" s="21"/>
      <c r="BC34" s="21"/>
      <c r="BD34" s="21"/>
      <c r="BE34" s="21"/>
      <c r="BF34" s="21"/>
      <c r="BG34" s="21"/>
      <c r="BI34" s="20"/>
      <c r="BJ34" s="20"/>
      <c r="BK34" s="20"/>
      <c r="BL34" s="20"/>
      <c r="BM34" s="7"/>
      <c r="BN34" s="7"/>
    </row>
    <row r="35">
      <c r="AE35" s="14"/>
      <c r="AZ35" s="21"/>
      <c r="BA35" s="21"/>
      <c r="BB35" s="21"/>
      <c r="BC35" s="21"/>
      <c r="BD35" s="21"/>
      <c r="BE35" s="21"/>
      <c r="BF35" s="21"/>
      <c r="BG35" s="21"/>
      <c r="BI35" s="20"/>
      <c r="BJ35" s="20"/>
      <c r="BK35" s="20"/>
      <c r="BL35" s="20"/>
      <c r="BM35" s="7"/>
      <c r="BN35" s="7"/>
    </row>
    <row r="36">
      <c r="AE36" s="14"/>
      <c r="AZ36" s="21"/>
      <c r="BA36" s="21"/>
      <c r="BB36" s="21"/>
      <c r="BC36" s="21"/>
      <c r="BD36" s="21"/>
      <c r="BE36" s="21"/>
      <c r="BF36" s="21"/>
      <c r="BG36" s="21"/>
      <c r="BI36" s="20"/>
      <c r="BJ36" s="20"/>
      <c r="BK36" s="20"/>
      <c r="BL36" s="20"/>
      <c r="BM36" s="7"/>
      <c r="BN36" s="7"/>
    </row>
    <row r="37">
      <c r="AE37" s="14"/>
      <c r="AZ37" s="21"/>
      <c r="BA37" s="21"/>
      <c r="BB37" s="21"/>
      <c r="BC37" s="21"/>
      <c r="BD37" s="21"/>
      <c r="BE37" s="21"/>
      <c r="BF37" s="21"/>
      <c r="BG37" s="21"/>
      <c r="BI37" s="20"/>
      <c r="BJ37" s="20"/>
      <c r="BK37" s="20"/>
      <c r="BL37" s="20"/>
      <c r="BM37" s="7"/>
      <c r="BN37" s="7"/>
    </row>
    <row r="38">
      <c r="AE38" s="14"/>
      <c r="AZ38" s="21"/>
      <c r="BA38" s="21"/>
      <c r="BB38" s="21"/>
      <c r="BC38" s="21"/>
      <c r="BD38" s="21"/>
      <c r="BE38" s="21"/>
      <c r="BF38" s="21"/>
      <c r="BG38" s="21"/>
      <c r="BI38" s="20"/>
      <c r="BJ38" s="20"/>
      <c r="BK38" s="20"/>
      <c r="BL38" s="20"/>
      <c r="BM38" s="7"/>
      <c r="BN38" s="7"/>
    </row>
    <row r="39">
      <c r="AE39" s="14"/>
      <c r="AZ39" s="21"/>
      <c r="BA39" s="21"/>
      <c r="BB39" s="21"/>
      <c r="BC39" s="21"/>
      <c r="BD39" s="21"/>
      <c r="BE39" s="21"/>
      <c r="BF39" s="21"/>
      <c r="BG39" s="21"/>
      <c r="BI39" s="20"/>
      <c r="BJ39" s="20"/>
      <c r="BK39" s="20"/>
      <c r="BL39" s="20"/>
      <c r="BM39" s="7"/>
      <c r="BN39" s="7"/>
    </row>
    <row r="40">
      <c r="AE40" s="14"/>
      <c r="AZ40" s="21"/>
      <c r="BA40" s="21"/>
      <c r="BB40" s="21"/>
      <c r="BC40" s="21"/>
      <c r="BD40" s="21"/>
      <c r="BE40" s="21"/>
      <c r="BF40" s="21"/>
      <c r="BG40" s="21"/>
      <c r="BI40" s="20"/>
      <c r="BJ40" s="20"/>
      <c r="BK40" s="20"/>
      <c r="BL40" s="20"/>
      <c r="BM40" s="7"/>
      <c r="BN40" s="7"/>
    </row>
    <row r="41">
      <c r="AE41" s="14"/>
      <c r="AZ41" s="21"/>
      <c r="BA41" s="21"/>
      <c r="BB41" s="21"/>
      <c r="BC41" s="21"/>
      <c r="BD41" s="21"/>
      <c r="BE41" s="21"/>
      <c r="BF41" s="21"/>
      <c r="BG41" s="21"/>
      <c r="BI41" s="20"/>
      <c r="BJ41" s="20"/>
      <c r="BK41" s="20"/>
      <c r="BL41" s="20"/>
      <c r="BM41" s="7"/>
      <c r="BN41" s="7"/>
    </row>
    <row r="42">
      <c r="AE42" s="14"/>
      <c r="AZ42" s="21"/>
      <c r="BA42" s="21"/>
      <c r="BB42" s="21"/>
      <c r="BC42" s="21"/>
      <c r="BD42" s="21"/>
      <c r="BE42" s="21"/>
      <c r="BF42" s="21"/>
      <c r="BG42" s="21"/>
      <c r="BI42" s="20"/>
      <c r="BJ42" s="20"/>
      <c r="BK42" s="20"/>
      <c r="BL42" s="20"/>
      <c r="BM42" s="7"/>
      <c r="BN42" s="7"/>
    </row>
    <row r="43">
      <c r="AE43" s="14"/>
      <c r="AZ43" s="21"/>
      <c r="BA43" s="21"/>
      <c r="BB43" s="21"/>
      <c r="BC43" s="21"/>
      <c r="BD43" s="21"/>
      <c r="BE43" s="21"/>
      <c r="BF43" s="21"/>
      <c r="BG43" s="21"/>
      <c r="BI43" s="20"/>
      <c r="BJ43" s="20"/>
      <c r="BK43" s="20"/>
      <c r="BL43" s="20"/>
      <c r="BM43" s="7"/>
      <c r="BN43" s="7"/>
    </row>
    <row r="44">
      <c r="AE44" s="14"/>
      <c r="AZ44" s="21"/>
      <c r="BA44" s="21"/>
      <c r="BB44" s="21"/>
      <c r="BC44" s="21"/>
      <c r="BD44" s="21"/>
      <c r="BE44" s="21"/>
      <c r="BF44" s="21"/>
      <c r="BG44" s="21"/>
      <c r="BI44" s="20"/>
      <c r="BJ44" s="20"/>
      <c r="BK44" s="20"/>
      <c r="BL44" s="20"/>
      <c r="BM44" s="7"/>
      <c r="BN44" s="7"/>
    </row>
    <row r="45">
      <c r="AE45" s="14"/>
      <c r="AZ45" s="21"/>
      <c r="BA45" s="21"/>
      <c r="BB45" s="21"/>
      <c r="BC45" s="21"/>
      <c r="BD45" s="21"/>
      <c r="BE45" s="21"/>
      <c r="BF45" s="21"/>
      <c r="BG45" s="21"/>
      <c r="BI45" s="20"/>
      <c r="BJ45" s="20"/>
      <c r="BK45" s="20"/>
      <c r="BL45" s="20"/>
      <c r="BM45" s="7"/>
      <c r="BN45" s="7"/>
    </row>
    <row r="46">
      <c r="AE46" s="14"/>
      <c r="AZ46" s="21"/>
      <c r="BA46" s="21"/>
      <c r="BB46" s="21"/>
      <c r="BC46" s="21"/>
      <c r="BD46" s="21"/>
      <c r="BE46" s="21"/>
      <c r="BF46" s="21"/>
      <c r="BG46" s="21"/>
      <c r="BI46" s="20"/>
      <c r="BJ46" s="20"/>
      <c r="BK46" s="20"/>
      <c r="BL46" s="20"/>
      <c r="BM46" s="7"/>
      <c r="BN46" s="7"/>
    </row>
    <row r="47">
      <c r="AE47" s="14"/>
      <c r="AZ47" s="21"/>
      <c r="BA47" s="21"/>
      <c r="BB47" s="21"/>
      <c r="BC47" s="21"/>
      <c r="BD47" s="21"/>
      <c r="BE47" s="21"/>
      <c r="BF47" s="21"/>
      <c r="BG47" s="21"/>
      <c r="BI47" s="20"/>
      <c r="BJ47" s="20"/>
      <c r="BK47" s="20"/>
      <c r="BL47" s="20"/>
      <c r="BM47" s="7"/>
      <c r="BN47" s="7"/>
    </row>
    <row r="48">
      <c r="AE48" s="14"/>
      <c r="AZ48" s="21"/>
      <c r="BA48" s="21"/>
      <c r="BB48" s="21"/>
      <c r="BC48" s="21"/>
      <c r="BD48" s="21"/>
      <c r="BE48" s="21"/>
      <c r="BF48" s="21"/>
      <c r="BG48" s="21"/>
      <c r="BI48" s="20"/>
      <c r="BJ48" s="20"/>
      <c r="BK48" s="20"/>
      <c r="BL48" s="20"/>
      <c r="BM48" s="7"/>
      <c r="BN48" s="7"/>
    </row>
    <row r="49">
      <c r="AE49" s="14"/>
      <c r="AZ49" s="21"/>
      <c r="BA49" s="21"/>
      <c r="BB49" s="21"/>
      <c r="BC49" s="21"/>
      <c r="BD49" s="21"/>
      <c r="BE49" s="21"/>
      <c r="BF49" s="21"/>
      <c r="BG49" s="21"/>
      <c r="BI49" s="20"/>
      <c r="BJ49" s="20"/>
      <c r="BK49" s="20"/>
      <c r="BL49" s="20"/>
      <c r="BM49" s="7"/>
      <c r="BN49" s="7"/>
    </row>
    <row r="50">
      <c r="AE50" s="14"/>
      <c r="AZ50" s="21"/>
      <c r="BA50" s="21"/>
      <c r="BB50" s="21"/>
      <c r="BC50" s="21"/>
      <c r="BD50" s="21"/>
      <c r="BE50" s="21"/>
      <c r="BF50" s="21"/>
      <c r="BG50" s="21"/>
      <c r="BI50" s="20"/>
      <c r="BJ50" s="20"/>
      <c r="BK50" s="20"/>
      <c r="BL50" s="20"/>
      <c r="BM50" s="7"/>
      <c r="BN50" s="7"/>
    </row>
    <row r="51">
      <c r="AE51" s="14"/>
      <c r="AZ51" s="21"/>
      <c r="BA51" s="21"/>
      <c r="BB51" s="21"/>
      <c r="BC51" s="21"/>
      <c r="BD51" s="21"/>
      <c r="BE51" s="21"/>
      <c r="BF51" s="21"/>
      <c r="BG51" s="21"/>
      <c r="BI51" s="20"/>
      <c r="BJ51" s="20"/>
      <c r="BK51" s="20"/>
      <c r="BL51" s="20"/>
      <c r="BM51" s="7"/>
      <c r="BN51" s="7"/>
    </row>
    <row r="52">
      <c r="AE52" s="14"/>
      <c r="AZ52" s="21"/>
      <c r="BA52" s="21"/>
      <c r="BB52" s="21"/>
      <c r="BC52" s="21"/>
      <c r="BD52" s="21"/>
      <c r="BE52" s="21"/>
      <c r="BF52" s="21"/>
      <c r="BG52" s="21"/>
      <c r="BI52" s="20"/>
      <c r="BJ52" s="20"/>
      <c r="BK52" s="20"/>
      <c r="BL52" s="20"/>
      <c r="BM52" s="7"/>
      <c r="BN52" s="7"/>
    </row>
    <row r="53">
      <c r="AE53" s="14"/>
      <c r="AZ53" s="21"/>
      <c r="BA53" s="21"/>
      <c r="BB53" s="21"/>
      <c r="BC53" s="21"/>
      <c r="BD53" s="21"/>
      <c r="BE53" s="21"/>
      <c r="BF53" s="21"/>
      <c r="BG53" s="21"/>
      <c r="BI53" s="20"/>
      <c r="BJ53" s="20"/>
      <c r="BK53" s="20"/>
      <c r="BL53" s="20"/>
      <c r="BM53" s="7"/>
      <c r="BN53" s="7"/>
    </row>
    <row r="54">
      <c r="AE54" s="14"/>
      <c r="AZ54" s="21"/>
      <c r="BA54" s="21"/>
      <c r="BB54" s="21"/>
      <c r="BC54" s="21"/>
      <c r="BD54" s="21"/>
      <c r="BE54" s="21"/>
      <c r="BF54" s="21"/>
      <c r="BG54" s="21"/>
      <c r="BI54" s="20"/>
      <c r="BJ54" s="20"/>
      <c r="BK54" s="20"/>
      <c r="BL54" s="20"/>
      <c r="BM54" s="7"/>
      <c r="BN54" s="7"/>
    </row>
    <row r="55">
      <c r="AE55" s="14"/>
      <c r="AZ55" s="21"/>
      <c r="BA55" s="21"/>
      <c r="BB55" s="21"/>
      <c r="BC55" s="21"/>
      <c r="BD55" s="21"/>
      <c r="BE55" s="21"/>
      <c r="BF55" s="21"/>
      <c r="BG55" s="21"/>
      <c r="BI55" s="20"/>
      <c r="BJ55" s="20"/>
      <c r="BK55" s="20"/>
      <c r="BL55" s="20"/>
      <c r="BM55" s="7"/>
      <c r="BN55" s="7"/>
    </row>
    <row r="56">
      <c r="E56" s="5" t="str">
        <f>'Página5'!A57</f>
        <v/>
      </c>
      <c r="AE56" s="14"/>
      <c r="AZ56" s="21"/>
      <c r="BA56" s="21"/>
      <c r="BB56" s="21"/>
      <c r="BC56" s="21"/>
      <c r="BD56" s="21"/>
      <c r="BE56" s="21"/>
      <c r="BF56" s="21"/>
      <c r="BG56" s="21"/>
      <c r="BI56" s="20"/>
      <c r="BJ56" s="20"/>
      <c r="BK56" s="20"/>
      <c r="BL56" s="20"/>
      <c r="BM56" s="7"/>
      <c r="BN56" s="7"/>
    </row>
    <row r="57">
      <c r="E57" s="5" t="str">
        <f>'Página5'!A58</f>
        <v/>
      </c>
      <c r="AE57" s="14"/>
      <c r="AZ57" s="21"/>
      <c r="BA57" s="21"/>
      <c r="BB57" s="21"/>
      <c r="BC57" s="21"/>
      <c r="BD57" s="21"/>
      <c r="BE57" s="21"/>
      <c r="BF57" s="21"/>
      <c r="BG57" s="21"/>
      <c r="BI57" s="20"/>
      <c r="BJ57" s="20"/>
      <c r="BK57" s="20"/>
      <c r="BL57" s="20"/>
      <c r="BM57" s="7"/>
      <c r="BN57" s="7"/>
    </row>
    <row r="58">
      <c r="E58" s="5" t="str">
        <f>'Página5'!A59</f>
        <v/>
      </c>
      <c r="AE58" s="14"/>
      <c r="AZ58" s="21"/>
      <c r="BA58" s="21"/>
      <c r="BB58" s="21"/>
      <c r="BC58" s="21"/>
      <c r="BD58" s="21"/>
      <c r="BE58" s="21"/>
      <c r="BF58" s="21"/>
      <c r="BG58" s="21"/>
      <c r="BI58" s="20"/>
      <c r="BJ58" s="20"/>
      <c r="BK58" s="20"/>
      <c r="BL58" s="20"/>
      <c r="BM58" s="7"/>
      <c r="BN58" s="7"/>
    </row>
    <row r="59">
      <c r="AE59" s="14"/>
      <c r="AZ59" s="21"/>
      <c r="BA59" s="21"/>
      <c r="BB59" s="21"/>
      <c r="BC59" s="21"/>
      <c r="BD59" s="21"/>
      <c r="BE59" s="21"/>
      <c r="BF59" s="21"/>
      <c r="BG59" s="21"/>
      <c r="BI59" s="20"/>
      <c r="BJ59" s="20"/>
      <c r="BK59" s="20"/>
      <c r="BL59" s="20"/>
      <c r="BM59" s="7"/>
      <c r="BN59" s="7"/>
    </row>
    <row r="60">
      <c r="AE60" s="14"/>
      <c r="AZ60" s="21"/>
      <c r="BA60" s="21"/>
      <c r="BB60" s="21"/>
      <c r="BC60" s="21"/>
      <c r="BD60" s="21"/>
      <c r="BE60" s="21"/>
      <c r="BF60" s="21"/>
      <c r="BG60" s="21"/>
      <c r="BI60" s="20"/>
      <c r="BJ60" s="20"/>
      <c r="BK60" s="20"/>
      <c r="BL60" s="20"/>
      <c r="BM60" s="7"/>
      <c r="BN60" s="7"/>
    </row>
    <row r="61">
      <c r="AE61" s="14"/>
      <c r="AZ61" s="21"/>
      <c r="BA61" s="21"/>
      <c r="BB61" s="21"/>
      <c r="BC61" s="21"/>
      <c r="BD61" s="21"/>
      <c r="BE61" s="21"/>
      <c r="BF61" s="21"/>
      <c r="BG61" s="21"/>
      <c r="BI61" s="20"/>
      <c r="BJ61" s="20"/>
      <c r="BK61" s="20"/>
      <c r="BL61" s="20"/>
      <c r="BM61" s="7"/>
      <c r="BN61" s="7"/>
    </row>
    <row r="62">
      <c r="AE62" s="14"/>
      <c r="AZ62" s="21"/>
      <c r="BA62" s="21"/>
      <c r="BB62" s="21"/>
      <c r="BC62" s="21"/>
      <c r="BD62" s="21"/>
      <c r="BE62" s="21"/>
      <c r="BF62" s="21"/>
      <c r="BG62" s="21"/>
      <c r="BI62" s="20"/>
      <c r="BJ62" s="20"/>
      <c r="BK62" s="20"/>
      <c r="BL62" s="20"/>
      <c r="BM62" s="7"/>
      <c r="BN62" s="7"/>
    </row>
    <row r="63">
      <c r="AE63" s="14"/>
      <c r="AZ63" s="21"/>
      <c r="BA63" s="21"/>
      <c r="BB63" s="21"/>
      <c r="BC63" s="21"/>
      <c r="BD63" s="21"/>
      <c r="BE63" s="21"/>
      <c r="BF63" s="21"/>
      <c r="BG63" s="21"/>
      <c r="BI63" s="20"/>
      <c r="BJ63" s="20"/>
      <c r="BK63" s="20"/>
      <c r="BL63" s="20"/>
      <c r="BM63" s="7"/>
      <c r="BN63" s="7"/>
    </row>
    <row r="64">
      <c r="AE64" s="14"/>
      <c r="AZ64" s="21"/>
      <c r="BA64" s="21"/>
      <c r="BB64" s="21"/>
      <c r="BC64" s="21"/>
      <c r="BD64" s="21"/>
      <c r="BE64" s="21"/>
      <c r="BF64" s="21"/>
      <c r="BG64" s="21"/>
      <c r="BI64" s="20"/>
      <c r="BJ64" s="20"/>
      <c r="BK64" s="20"/>
      <c r="BL64" s="20"/>
      <c r="BM64" s="7"/>
      <c r="BN64" s="7"/>
    </row>
    <row r="65">
      <c r="AE65" s="14"/>
      <c r="AZ65" s="21"/>
      <c r="BA65" s="21"/>
      <c r="BB65" s="21"/>
      <c r="BC65" s="21"/>
      <c r="BD65" s="21"/>
      <c r="BE65" s="21"/>
      <c r="BF65" s="21"/>
      <c r="BG65" s="21"/>
      <c r="BI65" s="20"/>
      <c r="BJ65" s="20"/>
      <c r="BK65" s="20"/>
      <c r="BL65" s="20"/>
      <c r="BM65" s="7"/>
      <c r="BN65" s="7"/>
    </row>
    <row r="66">
      <c r="AE66" s="14"/>
      <c r="AZ66" s="21"/>
      <c r="BA66" s="21"/>
      <c r="BB66" s="21"/>
      <c r="BC66" s="21"/>
      <c r="BD66" s="21"/>
      <c r="BE66" s="21"/>
      <c r="BF66" s="21"/>
      <c r="BG66" s="21"/>
      <c r="BI66" s="20"/>
      <c r="BJ66" s="20"/>
      <c r="BK66" s="20"/>
      <c r="BL66" s="20"/>
      <c r="BM66" s="7"/>
      <c r="BN66" s="7"/>
    </row>
    <row r="67">
      <c r="AE67" s="14"/>
      <c r="AZ67" s="21"/>
      <c r="BA67" s="21"/>
      <c r="BB67" s="21"/>
      <c r="BC67" s="21"/>
      <c r="BD67" s="21"/>
      <c r="BE67" s="21"/>
      <c r="BF67" s="21"/>
      <c r="BG67" s="21"/>
      <c r="BI67" s="20"/>
      <c r="BJ67" s="20"/>
      <c r="BK67" s="20"/>
      <c r="BL67" s="20"/>
      <c r="BM67" s="7"/>
      <c r="BN67" s="7"/>
    </row>
    <row r="68">
      <c r="AE68" s="14"/>
      <c r="AZ68" s="21"/>
      <c r="BA68" s="21"/>
      <c r="BB68" s="21"/>
      <c r="BC68" s="21"/>
      <c r="BD68" s="21"/>
      <c r="BE68" s="21"/>
      <c r="BF68" s="21"/>
      <c r="BG68" s="21"/>
      <c r="BI68" s="20"/>
      <c r="BJ68" s="20"/>
      <c r="BK68" s="20"/>
      <c r="BL68" s="20"/>
      <c r="BM68" s="7"/>
      <c r="BN68" s="7"/>
    </row>
    <row r="69">
      <c r="AE69" s="14"/>
      <c r="AZ69" s="21"/>
      <c r="BA69" s="21"/>
      <c r="BB69" s="21"/>
      <c r="BC69" s="21"/>
      <c r="BD69" s="21"/>
      <c r="BE69" s="21"/>
      <c r="BF69" s="21"/>
      <c r="BG69" s="21"/>
      <c r="BI69" s="20"/>
      <c r="BJ69" s="20"/>
      <c r="BK69" s="20"/>
      <c r="BL69" s="20"/>
      <c r="BM69" s="7"/>
      <c r="BN69" s="7"/>
    </row>
    <row r="70">
      <c r="AE70" s="14"/>
      <c r="AZ70" s="21"/>
      <c r="BA70" s="21"/>
      <c r="BB70" s="21"/>
      <c r="BC70" s="21"/>
      <c r="BD70" s="21"/>
      <c r="BE70" s="21"/>
      <c r="BF70" s="21"/>
      <c r="BG70" s="21"/>
      <c r="BI70" s="20"/>
      <c r="BJ70" s="20"/>
      <c r="BK70" s="20"/>
      <c r="BL70" s="20"/>
      <c r="BM70" s="7"/>
      <c r="BN70" s="7"/>
    </row>
    <row r="71">
      <c r="AE71" s="14"/>
      <c r="AZ71" s="21"/>
      <c r="BA71" s="21"/>
      <c r="BB71" s="21"/>
      <c r="BC71" s="21"/>
      <c r="BD71" s="21"/>
      <c r="BE71" s="21"/>
      <c r="BF71" s="21"/>
      <c r="BG71" s="21"/>
      <c r="BI71" s="20"/>
      <c r="BJ71" s="20"/>
      <c r="BK71" s="20"/>
      <c r="BL71" s="20"/>
      <c r="BM71" s="7"/>
      <c r="BN71" s="7"/>
    </row>
    <row r="72">
      <c r="AE72" s="14"/>
      <c r="AZ72" s="21"/>
      <c r="BA72" s="21"/>
      <c r="BB72" s="21"/>
      <c r="BC72" s="21"/>
      <c r="BD72" s="21"/>
      <c r="BE72" s="21"/>
      <c r="BF72" s="21"/>
      <c r="BG72" s="21"/>
      <c r="BI72" s="20"/>
      <c r="BJ72" s="20"/>
      <c r="BK72" s="20"/>
      <c r="BL72" s="20"/>
      <c r="BM72" s="7"/>
      <c r="BN72" s="7"/>
    </row>
    <row r="73">
      <c r="AE73" s="14"/>
      <c r="AZ73" s="21"/>
      <c r="BA73" s="21"/>
      <c r="BB73" s="21"/>
      <c r="BC73" s="21"/>
      <c r="BD73" s="21"/>
      <c r="BE73" s="21"/>
      <c r="BF73" s="21"/>
      <c r="BG73" s="21"/>
      <c r="BI73" s="20"/>
      <c r="BJ73" s="20"/>
      <c r="BK73" s="20"/>
      <c r="BL73" s="20"/>
      <c r="BM73" s="7"/>
      <c r="BN73" s="7"/>
    </row>
    <row r="74">
      <c r="AE74" s="14"/>
      <c r="AZ74" s="21"/>
      <c r="BA74" s="21"/>
      <c r="BB74" s="21"/>
      <c r="BC74" s="21"/>
      <c r="BD74" s="21"/>
      <c r="BE74" s="21"/>
      <c r="BF74" s="21"/>
      <c r="BG74" s="21"/>
      <c r="BI74" s="20"/>
      <c r="BJ74" s="20"/>
      <c r="BK74" s="20"/>
      <c r="BL74" s="20"/>
      <c r="BM74" s="7"/>
      <c r="BN74" s="7"/>
    </row>
    <row r="75">
      <c r="AE75" s="14"/>
      <c r="AZ75" s="21"/>
      <c r="BA75" s="21"/>
      <c r="BB75" s="21"/>
      <c r="BC75" s="21"/>
      <c r="BD75" s="21"/>
      <c r="BE75" s="21"/>
      <c r="BF75" s="21"/>
      <c r="BG75" s="21"/>
      <c r="BI75" s="20"/>
      <c r="BJ75" s="20"/>
      <c r="BK75" s="20"/>
      <c r="BL75" s="20"/>
      <c r="BM75" s="7"/>
      <c r="BN75" s="7"/>
    </row>
    <row r="76">
      <c r="AE76" s="14"/>
      <c r="AZ76" s="21"/>
      <c r="BA76" s="21"/>
      <c r="BB76" s="21"/>
      <c r="BC76" s="21"/>
      <c r="BD76" s="21"/>
      <c r="BE76" s="21"/>
      <c r="BF76" s="21"/>
      <c r="BG76" s="21"/>
      <c r="BI76" s="20"/>
      <c r="BJ76" s="20"/>
      <c r="BK76" s="20"/>
      <c r="BL76" s="20"/>
      <c r="BM76" s="7"/>
      <c r="BN76" s="7"/>
    </row>
    <row r="77">
      <c r="AE77" s="14"/>
      <c r="AZ77" s="21"/>
      <c r="BA77" s="21"/>
      <c r="BB77" s="21"/>
      <c r="BC77" s="21"/>
      <c r="BD77" s="21"/>
      <c r="BE77" s="21"/>
      <c r="BF77" s="21"/>
      <c r="BG77" s="21"/>
      <c r="BI77" s="20"/>
      <c r="BJ77" s="20"/>
      <c r="BK77" s="20"/>
      <c r="BL77" s="20"/>
      <c r="BM77" s="7"/>
      <c r="BN77" s="7"/>
    </row>
    <row r="78">
      <c r="AE78" s="14"/>
      <c r="AZ78" s="21"/>
      <c r="BA78" s="21"/>
      <c r="BB78" s="21"/>
      <c r="BC78" s="21"/>
      <c r="BD78" s="21"/>
      <c r="BE78" s="21"/>
      <c r="BF78" s="21"/>
      <c r="BG78" s="21"/>
      <c r="BI78" s="20"/>
      <c r="BJ78" s="20"/>
      <c r="BK78" s="20"/>
      <c r="BL78" s="20"/>
      <c r="BM78" s="7"/>
      <c r="BN78" s="7"/>
    </row>
    <row r="79">
      <c r="AE79" s="14"/>
      <c r="AZ79" s="21"/>
      <c r="BA79" s="21"/>
      <c r="BB79" s="21"/>
      <c r="BC79" s="21"/>
      <c r="BD79" s="21"/>
      <c r="BE79" s="21"/>
      <c r="BF79" s="21"/>
      <c r="BG79" s="21"/>
      <c r="BI79" s="20"/>
      <c r="BJ79" s="20"/>
      <c r="BK79" s="20"/>
      <c r="BL79" s="20"/>
      <c r="BM79" s="7"/>
      <c r="BN79" s="7"/>
    </row>
    <row r="80">
      <c r="AE80" s="14"/>
      <c r="AZ80" s="21"/>
      <c r="BA80" s="21"/>
      <c r="BB80" s="21"/>
      <c r="BC80" s="21"/>
      <c r="BD80" s="21"/>
      <c r="BE80" s="21"/>
      <c r="BF80" s="21"/>
      <c r="BG80" s="21"/>
      <c r="BI80" s="20"/>
      <c r="BJ80" s="20"/>
      <c r="BK80" s="20"/>
      <c r="BL80" s="20"/>
      <c r="BM80" s="7"/>
      <c r="BN80" s="7"/>
    </row>
    <row r="81">
      <c r="AE81" s="14"/>
      <c r="AZ81" s="21"/>
      <c r="BA81" s="21"/>
      <c r="BB81" s="21"/>
      <c r="BC81" s="21"/>
      <c r="BD81" s="21"/>
      <c r="BE81" s="21"/>
      <c r="BF81" s="21"/>
      <c r="BG81" s="21"/>
      <c r="BI81" s="20"/>
      <c r="BJ81" s="20"/>
      <c r="BK81" s="20"/>
      <c r="BL81" s="20"/>
      <c r="BM81" s="7"/>
      <c r="BN81" s="7"/>
    </row>
    <row r="82">
      <c r="AE82" s="14"/>
      <c r="AZ82" s="21"/>
      <c r="BA82" s="21"/>
      <c r="BB82" s="21"/>
      <c r="BC82" s="21"/>
      <c r="BD82" s="21"/>
      <c r="BE82" s="21"/>
      <c r="BF82" s="21"/>
      <c r="BG82" s="21"/>
      <c r="BI82" s="20"/>
      <c r="BJ82" s="20"/>
      <c r="BK82" s="20"/>
      <c r="BL82" s="20"/>
      <c r="BM82" s="7"/>
      <c r="BN82" s="7"/>
    </row>
    <row r="83">
      <c r="AE83" s="14"/>
      <c r="AZ83" s="21"/>
      <c r="BA83" s="21"/>
      <c r="BB83" s="21"/>
      <c r="BC83" s="21"/>
      <c r="BD83" s="21"/>
      <c r="BE83" s="21"/>
      <c r="BF83" s="21"/>
      <c r="BG83" s="21"/>
      <c r="BI83" s="20"/>
      <c r="BJ83" s="20"/>
      <c r="BK83" s="20"/>
      <c r="BL83" s="20"/>
      <c r="BM83" s="7"/>
      <c r="BN83" s="7"/>
    </row>
    <row r="84">
      <c r="AE84" s="14"/>
      <c r="AZ84" s="21"/>
      <c r="BA84" s="21"/>
      <c r="BB84" s="21"/>
      <c r="BC84" s="21"/>
      <c r="BD84" s="21"/>
      <c r="BE84" s="21"/>
      <c r="BF84" s="21"/>
      <c r="BG84" s="21"/>
      <c r="BI84" s="20"/>
      <c r="BJ84" s="20"/>
      <c r="BK84" s="20"/>
      <c r="BL84" s="20"/>
      <c r="BM84" s="7"/>
      <c r="BN84" s="7"/>
    </row>
    <row r="85">
      <c r="AE85" s="14"/>
      <c r="AZ85" s="21"/>
      <c r="BA85" s="21"/>
      <c r="BB85" s="21"/>
      <c r="BC85" s="21"/>
      <c r="BD85" s="21"/>
      <c r="BE85" s="21"/>
      <c r="BF85" s="21"/>
      <c r="BG85" s="21"/>
      <c r="BI85" s="20"/>
      <c r="BJ85" s="20"/>
      <c r="BK85" s="20"/>
      <c r="BL85" s="20"/>
      <c r="BM85" s="7"/>
      <c r="BN85" s="7"/>
    </row>
    <row r="86">
      <c r="AE86" s="14"/>
      <c r="AZ86" s="21"/>
      <c r="BA86" s="21"/>
      <c r="BB86" s="21"/>
      <c r="BC86" s="21"/>
      <c r="BD86" s="21"/>
      <c r="BE86" s="21"/>
      <c r="BF86" s="21"/>
      <c r="BG86" s="21"/>
      <c r="BI86" s="20"/>
      <c r="BJ86" s="20"/>
      <c r="BK86" s="20"/>
      <c r="BL86" s="20"/>
      <c r="BM86" s="7"/>
      <c r="BN86" s="7"/>
    </row>
    <row r="87">
      <c r="AE87" s="14"/>
      <c r="AZ87" s="21"/>
      <c r="BA87" s="21"/>
      <c r="BB87" s="21"/>
      <c r="BC87" s="21"/>
      <c r="BD87" s="21"/>
      <c r="BE87" s="21"/>
      <c r="BF87" s="21"/>
      <c r="BG87" s="21"/>
      <c r="BI87" s="20"/>
      <c r="BJ87" s="20"/>
      <c r="BK87" s="20"/>
      <c r="BL87" s="20"/>
      <c r="BM87" s="7"/>
      <c r="BN87" s="7"/>
    </row>
    <row r="88">
      <c r="AE88" s="14"/>
      <c r="AZ88" s="21"/>
      <c r="BA88" s="21"/>
      <c r="BB88" s="21"/>
      <c r="BC88" s="21"/>
      <c r="BD88" s="21"/>
      <c r="BE88" s="21"/>
      <c r="BF88" s="21"/>
      <c r="BG88" s="21"/>
      <c r="BI88" s="20"/>
      <c r="BJ88" s="20"/>
      <c r="BK88" s="20"/>
      <c r="BL88" s="20"/>
      <c r="BM88" s="7"/>
      <c r="BN88" s="7"/>
    </row>
    <row r="89">
      <c r="AE89" s="14"/>
      <c r="AZ89" s="21"/>
      <c r="BA89" s="21"/>
      <c r="BB89" s="21"/>
      <c r="BC89" s="21"/>
      <c r="BD89" s="21"/>
      <c r="BE89" s="21"/>
      <c r="BF89" s="21"/>
      <c r="BG89" s="21"/>
      <c r="BI89" s="20"/>
      <c r="BJ89" s="20"/>
      <c r="BK89" s="20"/>
      <c r="BL89" s="20"/>
      <c r="BM89" s="7"/>
      <c r="BN89" s="7"/>
    </row>
    <row r="90">
      <c r="AE90" s="14"/>
      <c r="AZ90" s="21"/>
      <c r="BA90" s="21"/>
      <c r="BB90" s="21"/>
      <c r="BC90" s="21"/>
      <c r="BD90" s="21"/>
      <c r="BE90" s="21"/>
      <c r="BF90" s="21"/>
      <c r="BG90" s="21"/>
      <c r="BI90" s="20"/>
      <c r="BJ90" s="20"/>
      <c r="BK90" s="20"/>
      <c r="BL90" s="20"/>
      <c r="BM90" s="7"/>
      <c r="BN90" s="7"/>
    </row>
    <row r="91">
      <c r="AE91" s="14"/>
      <c r="AZ91" s="21"/>
      <c r="BA91" s="21"/>
      <c r="BB91" s="21"/>
      <c r="BC91" s="21"/>
      <c r="BD91" s="21"/>
      <c r="BE91" s="21"/>
      <c r="BF91" s="21"/>
      <c r="BG91" s="21"/>
      <c r="BI91" s="20"/>
      <c r="BJ91" s="20"/>
      <c r="BK91" s="20"/>
      <c r="BL91" s="20"/>
      <c r="BM91" s="7"/>
      <c r="BN91" s="7"/>
    </row>
    <row r="92">
      <c r="AE92" s="14"/>
      <c r="AZ92" s="21"/>
      <c r="BA92" s="21"/>
      <c r="BB92" s="21"/>
      <c r="BC92" s="21"/>
      <c r="BD92" s="21"/>
      <c r="BE92" s="21"/>
      <c r="BF92" s="21"/>
      <c r="BG92" s="21"/>
      <c r="BI92" s="20"/>
      <c r="BJ92" s="20"/>
      <c r="BK92" s="20"/>
      <c r="BL92" s="20"/>
      <c r="BM92" s="7"/>
      <c r="BN92" s="7"/>
    </row>
    <row r="93">
      <c r="AE93" s="14"/>
      <c r="AZ93" s="21"/>
      <c r="BA93" s="21"/>
      <c r="BB93" s="21"/>
      <c r="BC93" s="21"/>
      <c r="BD93" s="21"/>
      <c r="BE93" s="21"/>
      <c r="BF93" s="21"/>
      <c r="BG93" s="21"/>
      <c r="BI93" s="20"/>
      <c r="BJ93" s="20"/>
      <c r="BK93" s="20"/>
      <c r="BL93" s="20"/>
      <c r="BM93" s="7"/>
      <c r="BN93" s="7"/>
    </row>
    <row r="94">
      <c r="AE94" s="14"/>
      <c r="AZ94" s="21"/>
      <c r="BA94" s="21"/>
      <c r="BB94" s="21"/>
      <c r="BC94" s="21"/>
      <c r="BD94" s="21"/>
      <c r="BE94" s="21"/>
      <c r="BF94" s="21"/>
      <c r="BG94" s="21"/>
      <c r="BI94" s="20"/>
      <c r="BJ94" s="20"/>
      <c r="BK94" s="20"/>
      <c r="BL94" s="20"/>
      <c r="BM94" s="7"/>
      <c r="BN94" s="7"/>
    </row>
    <row r="95">
      <c r="AE95" s="14"/>
      <c r="AZ95" s="21"/>
      <c r="BA95" s="21"/>
      <c r="BB95" s="21"/>
      <c r="BC95" s="21"/>
      <c r="BD95" s="21"/>
      <c r="BE95" s="21"/>
      <c r="BF95" s="21"/>
      <c r="BG95" s="21"/>
      <c r="BI95" s="20"/>
      <c r="BJ95" s="20"/>
      <c r="BK95" s="20"/>
      <c r="BL95" s="20"/>
      <c r="BM95" s="7"/>
      <c r="BN95" s="7"/>
    </row>
    <row r="96">
      <c r="AE96" s="14"/>
      <c r="AZ96" s="21"/>
      <c r="BA96" s="21"/>
      <c r="BB96" s="21"/>
      <c r="BC96" s="21"/>
      <c r="BD96" s="21"/>
      <c r="BE96" s="21"/>
      <c r="BF96" s="21"/>
      <c r="BG96" s="21"/>
      <c r="BI96" s="20"/>
      <c r="BJ96" s="20"/>
      <c r="BK96" s="20"/>
      <c r="BL96" s="20"/>
      <c r="BM96" s="7"/>
      <c r="BN96" s="7"/>
    </row>
    <row r="97">
      <c r="AE97" s="14"/>
      <c r="AZ97" s="21"/>
      <c r="BA97" s="21"/>
      <c r="BB97" s="21"/>
      <c r="BC97" s="21"/>
      <c r="BD97" s="21"/>
      <c r="BE97" s="21"/>
      <c r="BF97" s="21"/>
      <c r="BG97" s="21"/>
      <c r="BI97" s="20"/>
      <c r="BJ97" s="20"/>
      <c r="BK97" s="20"/>
      <c r="BL97" s="20"/>
      <c r="BM97" s="7"/>
      <c r="BN97" s="7"/>
    </row>
    <row r="98">
      <c r="AE98" s="14"/>
      <c r="AZ98" s="21"/>
      <c r="BA98" s="21"/>
      <c r="BB98" s="21"/>
      <c r="BC98" s="21"/>
      <c r="BD98" s="21"/>
      <c r="BE98" s="21"/>
      <c r="BF98" s="21"/>
      <c r="BG98" s="21"/>
      <c r="BI98" s="20"/>
      <c r="BJ98" s="20"/>
      <c r="BK98" s="20"/>
      <c r="BL98" s="20"/>
      <c r="BM98" s="7"/>
      <c r="BN98" s="7"/>
    </row>
    <row r="99">
      <c r="AE99" s="14"/>
      <c r="AZ99" s="21"/>
      <c r="BA99" s="21"/>
      <c r="BB99" s="21"/>
      <c r="BC99" s="21"/>
      <c r="BD99" s="21"/>
      <c r="BE99" s="21"/>
      <c r="BF99" s="21"/>
      <c r="BG99" s="21"/>
      <c r="BI99" s="20"/>
      <c r="BJ99" s="20"/>
      <c r="BK99" s="20"/>
      <c r="BL99" s="20"/>
      <c r="BM99" s="7"/>
      <c r="BN99" s="7"/>
    </row>
    <row r="100">
      <c r="AE100" s="14"/>
      <c r="AZ100" s="21"/>
      <c r="BA100" s="21"/>
      <c r="BB100" s="21"/>
      <c r="BC100" s="21"/>
      <c r="BD100" s="21"/>
      <c r="BE100" s="21"/>
      <c r="BF100" s="21"/>
      <c r="BG100" s="21"/>
      <c r="BI100" s="20"/>
      <c r="BJ100" s="20"/>
      <c r="BK100" s="20"/>
      <c r="BL100" s="20"/>
      <c r="BM100" s="7"/>
      <c r="BN100" s="7"/>
    </row>
    <row r="101">
      <c r="AE101" s="14"/>
      <c r="AZ101" s="21"/>
      <c r="BA101" s="21"/>
      <c r="BB101" s="21"/>
      <c r="BC101" s="21"/>
      <c r="BD101" s="21"/>
      <c r="BE101" s="21"/>
      <c r="BF101" s="21"/>
      <c r="BG101" s="21"/>
      <c r="BI101" s="20"/>
      <c r="BJ101" s="20"/>
      <c r="BK101" s="20"/>
      <c r="BL101" s="20"/>
      <c r="BM101" s="7"/>
      <c r="BN101" s="7"/>
    </row>
    <row r="102">
      <c r="AE102" s="14"/>
      <c r="AZ102" s="21"/>
      <c r="BA102" s="21"/>
      <c r="BB102" s="21"/>
      <c r="BC102" s="21"/>
      <c r="BD102" s="21"/>
      <c r="BE102" s="21"/>
      <c r="BF102" s="21"/>
      <c r="BG102" s="21"/>
      <c r="BI102" s="20"/>
      <c r="BJ102" s="20"/>
      <c r="BK102" s="20"/>
      <c r="BL102" s="20"/>
      <c r="BM102" s="7"/>
      <c r="BN102" s="7"/>
    </row>
    <row r="103">
      <c r="AE103" s="14"/>
      <c r="AZ103" s="21"/>
      <c r="BA103" s="21"/>
      <c r="BB103" s="21"/>
      <c r="BC103" s="21"/>
      <c r="BD103" s="21"/>
      <c r="BE103" s="21"/>
      <c r="BF103" s="21"/>
      <c r="BG103" s="21"/>
      <c r="BI103" s="20"/>
      <c r="BJ103" s="20"/>
      <c r="BK103" s="20"/>
      <c r="BL103" s="20"/>
      <c r="BM103" s="7"/>
      <c r="BN103" s="7"/>
    </row>
    <row r="104">
      <c r="AE104" s="14"/>
      <c r="AZ104" s="21"/>
      <c r="BA104" s="21"/>
      <c r="BB104" s="21"/>
      <c r="BC104" s="21"/>
      <c r="BD104" s="21"/>
      <c r="BE104" s="21"/>
      <c r="BF104" s="21"/>
      <c r="BG104" s="21"/>
      <c r="BI104" s="20"/>
      <c r="BJ104" s="20"/>
      <c r="BK104" s="20"/>
      <c r="BL104" s="20"/>
      <c r="BM104" s="7"/>
      <c r="BN104" s="7"/>
    </row>
    <row r="105">
      <c r="AE105" s="14"/>
      <c r="AZ105" s="21"/>
      <c r="BA105" s="21"/>
      <c r="BB105" s="21"/>
      <c r="BC105" s="21"/>
      <c r="BD105" s="21"/>
      <c r="BE105" s="21"/>
      <c r="BF105" s="21"/>
      <c r="BG105" s="21"/>
      <c r="BI105" s="20"/>
      <c r="BJ105" s="20"/>
      <c r="BK105" s="20"/>
      <c r="BL105" s="20"/>
      <c r="BM105" s="7"/>
      <c r="BN105" s="7"/>
    </row>
    <row r="106">
      <c r="AE106" s="14"/>
      <c r="AZ106" s="21"/>
      <c r="BA106" s="21"/>
      <c r="BB106" s="21"/>
      <c r="BC106" s="21"/>
      <c r="BD106" s="21"/>
      <c r="BE106" s="21"/>
      <c r="BF106" s="21"/>
      <c r="BG106" s="21"/>
      <c r="BI106" s="20"/>
      <c r="BJ106" s="20"/>
      <c r="BK106" s="20"/>
      <c r="BL106" s="20"/>
      <c r="BM106" s="7"/>
      <c r="BN106" s="7"/>
    </row>
    <row r="107">
      <c r="AE107" s="14"/>
      <c r="AZ107" s="21"/>
      <c r="BA107" s="21"/>
      <c r="BB107" s="21"/>
      <c r="BC107" s="21"/>
      <c r="BD107" s="21"/>
      <c r="BE107" s="21"/>
      <c r="BF107" s="21"/>
      <c r="BG107" s="21"/>
      <c r="BI107" s="20"/>
      <c r="BJ107" s="20"/>
      <c r="BK107" s="20"/>
      <c r="BL107" s="20"/>
      <c r="BM107" s="7"/>
      <c r="BN107" s="7"/>
    </row>
    <row r="108">
      <c r="AE108" s="14"/>
      <c r="AZ108" s="21"/>
      <c r="BA108" s="21"/>
      <c r="BB108" s="21"/>
      <c r="BC108" s="21"/>
      <c r="BD108" s="21"/>
      <c r="BE108" s="21"/>
      <c r="BF108" s="21"/>
      <c r="BG108" s="21"/>
      <c r="BI108" s="20"/>
      <c r="BJ108" s="20"/>
      <c r="BK108" s="20"/>
      <c r="BL108" s="20"/>
      <c r="BM108" s="7"/>
      <c r="BN108" s="7"/>
    </row>
    <row r="109">
      <c r="AE109" s="14"/>
      <c r="AZ109" s="21"/>
      <c r="BA109" s="21"/>
      <c r="BB109" s="21"/>
      <c r="BC109" s="21"/>
      <c r="BD109" s="21"/>
      <c r="BE109" s="21"/>
      <c r="BF109" s="21"/>
      <c r="BG109" s="21"/>
      <c r="BI109" s="20"/>
      <c r="BJ109" s="20"/>
      <c r="BK109" s="20"/>
      <c r="BL109" s="20"/>
      <c r="BM109" s="7"/>
      <c r="BN109" s="7"/>
    </row>
    <row r="110">
      <c r="AE110" s="14"/>
      <c r="AZ110" s="21"/>
      <c r="BA110" s="21"/>
      <c r="BB110" s="21"/>
      <c r="BC110" s="21"/>
      <c r="BD110" s="21"/>
      <c r="BE110" s="21"/>
      <c r="BF110" s="21"/>
      <c r="BG110" s="21"/>
      <c r="BI110" s="20"/>
      <c r="BJ110" s="20"/>
      <c r="BK110" s="20"/>
      <c r="BL110" s="20"/>
      <c r="BM110" s="7"/>
      <c r="BN110" s="7"/>
    </row>
    <row r="111">
      <c r="AE111" s="14"/>
      <c r="AZ111" s="21"/>
      <c r="BA111" s="21"/>
      <c r="BB111" s="21"/>
      <c r="BC111" s="21"/>
      <c r="BD111" s="21"/>
      <c r="BE111" s="21"/>
      <c r="BF111" s="21"/>
      <c r="BG111" s="21"/>
      <c r="BI111" s="20"/>
      <c r="BJ111" s="20"/>
      <c r="BK111" s="20"/>
      <c r="BL111" s="20"/>
      <c r="BM111" s="7"/>
      <c r="BN111" s="7"/>
    </row>
    <row r="112">
      <c r="AE112" s="14"/>
      <c r="AZ112" s="21"/>
      <c r="BA112" s="21"/>
      <c r="BB112" s="21"/>
      <c r="BC112" s="21"/>
      <c r="BD112" s="21"/>
      <c r="BE112" s="21"/>
      <c r="BF112" s="21"/>
      <c r="BG112" s="21"/>
      <c r="BI112" s="20"/>
      <c r="BJ112" s="20"/>
      <c r="BK112" s="20"/>
      <c r="BL112" s="20"/>
      <c r="BM112" s="7"/>
      <c r="BN112" s="7"/>
    </row>
    <row r="113">
      <c r="AE113" s="14"/>
      <c r="AZ113" s="21"/>
      <c r="BA113" s="21"/>
      <c r="BB113" s="21"/>
      <c r="BC113" s="21"/>
      <c r="BD113" s="21"/>
      <c r="BE113" s="21"/>
      <c r="BF113" s="21"/>
      <c r="BG113" s="21"/>
      <c r="BI113" s="20"/>
      <c r="BJ113" s="20"/>
      <c r="BK113" s="20"/>
      <c r="BL113" s="20"/>
      <c r="BM113" s="7"/>
      <c r="BN113" s="7"/>
    </row>
    <row r="114">
      <c r="AE114" s="14"/>
      <c r="AZ114" s="21"/>
      <c r="BA114" s="21"/>
      <c r="BB114" s="21"/>
      <c r="BC114" s="21"/>
      <c r="BD114" s="21"/>
      <c r="BE114" s="21"/>
      <c r="BF114" s="21"/>
      <c r="BG114" s="21"/>
      <c r="BI114" s="20"/>
      <c r="BJ114" s="20"/>
      <c r="BK114" s="20"/>
      <c r="BL114" s="20"/>
      <c r="BM114" s="7"/>
      <c r="BN114" s="7"/>
    </row>
    <row r="115">
      <c r="AE115" s="14"/>
      <c r="AZ115" s="21"/>
      <c r="BA115" s="21"/>
      <c r="BB115" s="21"/>
      <c r="BC115" s="21"/>
      <c r="BD115" s="21"/>
      <c r="BE115" s="21"/>
      <c r="BF115" s="21"/>
      <c r="BG115" s="21"/>
      <c r="BI115" s="20"/>
      <c r="BJ115" s="20"/>
      <c r="BK115" s="20"/>
      <c r="BL115" s="20"/>
      <c r="BM115" s="7"/>
      <c r="BN115" s="7"/>
    </row>
    <row r="116">
      <c r="AE116" s="14"/>
      <c r="AZ116" s="21"/>
      <c r="BA116" s="21"/>
      <c r="BB116" s="21"/>
      <c r="BC116" s="21"/>
      <c r="BD116" s="21"/>
      <c r="BE116" s="21"/>
      <c r="BF116" s="21"/>
      <c r="BG116" s="21"/>
      <c r="BI116" s="20"/>
      <c r="BJ116" s="20"/>
      <c r="BK116" s="20"/>
      <c r="BL116" s="20"/>
      <c r="BM116" s="7"/>
      <c r="BN116" s="7"/>
    </row>
    <row r="117">
      <c r="AE117" s="14"/>
      <c r="AZ117" s="21"/>
      <c r="BA117" s="21"/>
      <c r="BB117" s="21"/>
      <c r="BC117" s="21"/>
      <c r="BD117" s="21"/>
      <c r="BE117" s="21"/>
      <c r="BF117" s="21"/>
      <c r="BG117" s="21"/>
      <c r="BI117" s="20"/>
      <c r="BJ117" s="20"/>
      <c r="BK117" s="20"/>
      <c r="BL117" s="20"/>
      <c r="BM117" s="7"/>
      <c r="BN117" s="7"/>
    </row>
    <row r="118">
      <c r="AE118" s="14"/>
      <c r="AZ118" s="21"/>
      <c r="BA118" s="21"/>
      <c r="BB118" s="21"/>
      <c r="BC118" s="21"/>
      <c r="BD118" s="21"/>
      <c r="BE118" s="21"/>
      <c r="BF118" s="21"/>
      <c r="BG118" s="21"/>
      <c r="BI118" s="20"/>
      <c r="BJ118" s="20"/>
      <c r="BK118" s="20"/>
      <c r="BL118" s="20"/>
      <c r="BM118" s="7"/>
      <c r="BN118" s="7"/>
    </row>
    <row r="119">
      <c r="AE119" s="14"/>
      <c r="AZ119" s="21"/>
      <c r="BA119" s="21"/>
      <c r="BB119" s="21"/>
      <c r="BC119" s="21"/>
      <c r="BD119" s="21"/>
      <c r="BE119" s="21"/>
      <c r="BF119" s="21"/>
      <c r="BG119" s="21"/>
      <c r="BI119" s="20"/>
      <c r="BJ119" s="20"/>
      <c r="BK119" s="20"/>
      <c r="BL119" s="20"/>
      <c r="BM119" s="7"/>
      <c r="BN119" s="7"/>
    </row>
    <row r="120">
      <c r="AE120" s="14"/>
      <c r="AZ120" s="21"/>
      <c r="BA120" s="21"/>
      <c r="BB120" s="21"/>
      <c r="BC120" s="21"/>
      <c r="BD120" s="21"/>
      <c r="BE120" s="21"/>
      <c r="BF120" s="21"/>
      <c r="BG120" s="21"/>
      <c r="BI120" s="20"/>
      <c r="BJ120" s="20"/>
      <c r="BK120" s="20"/>
      <c r="BL120" s="20"/>
      <c r="BM120" s="7"/>
      <c r="BN120" s="7"/>
    </row>
    <row r="121">
      <c r="AE121" s="14"/>
      <c r="AZ121" s="21"/>
      <c r="BA121" s="21"/>
      <c r="BB121" s="21"/>
      <c r="BC121" s="21"/>
      <c r="BD121" s="21"/>
      <c r="BE121" s="21"/>
      <c r="BF121" s="21"/>
      <c r="BG121" s="21"/>
      <c r="BI121" s="20"/>
      <c r="BJ121" s="20"/>
      <c r="BK121" s="20"/>
      <c r="BL121" s="20"/>
      <c r="BM121" s="7"/>
      <c r="BN121" s="7"/>
    </row>
    <row r="122">
      <c r="AE122" s="14"/>
      <c r="AZ122" s="21"/>
      <c r="BA122" s="21"/>
      <c r="BB122" s="21"/>
      <c r="BC122" s="21"/>
      <c r="BD122" s="21"/>
      <c r="BE122" s="21"/>
      <c r="BF122" s="21"/>
      <c r="BG122" s="21"/>
      <c r="BI122" s="20"/>
      <c r="BJ122" s="20"/>
      <c r="BK122" s="20"/>
      <c r="BL122" s="20"/>
      <c r="BM122" s="7"/>
      <c r="BN122" s="7"/>
    </row>
    <row r="123">
      <c r="AE123" s="14"/>
      <c r="AZ123" s="21"/>
      <c r="BA123" s="21"/>
      <c r="BB123" s="21"/>
      <c r="BC123" s="21"/>
      <c r="BD123" s="21"/>
      <c r="BE123" s="21"/>
      <c r="BF123" s="21"/>
      <c r="BG123" s="21"/>
      <c r="BI123" s="20"/>
      <c r="BJ123" s="20"/>
      <c r="BK123" s="20"/>
      <c r="BL123" s="20"/>
      <c r="BM123" s="7"/>
      <c r="BN123" s="7"/>
    </row>
    <row r="124">
      <c r="AE124" s="14"/>
      <c r="AZ124" s="21"/>
      <c r="BA124" s="21"/>
      <c r="BB124" s="21"/>
      <c r="BC124" s="21"/>
      <c r="BD124" s="21"/>
      <c r="BE124" s="21"/>
      <c r="BF124" s="21"/>
      <c r="BG124" s="21"/>
      <c r="BI124" s="20"/>
      <c r="BJ124" s="20"/>
      <c r="BK124" s="20"/>
      <c r="BL124" s="20"/>
      <c r="BM124" s="7"/>
      <c r="BN124" s="7"/>
    </row>
    <row r="125">
      <c r="AE125" s="14"/>
      <c r="AZ125" s="21"/>
      <c r="BA125" s="21"/>
      <c r="BB125" s="21"/>
      <c r="BC125" s="21"/>
      <c r="BD125" s="21"/>
      <c r="BE125" s="21"/>
      <c r="BF125" s="21"/>
      <c r="BG125" s="21"/>
      <c r="BI125" s="20"/>
      <c r="BJ125" s="20"/>
      <c r="BK125" s="20"/>
      <c r="BL125" s="20"/>
      <c r="BM125" s="7"/>
      <c r="BN125" s="7"/>
    </row>
    <row r="126">
      <c r="AE126" s="14"/>
      <c r="AZ126" s="21"/>
      <c r="BA126" s="21"/>
      <c r="BB126" s="21"/>
      <c r="BC126" s="21"/>
      <c r="BD126" s="21"/>
      <c r="BE126" s="21"/>
      <c r="BF126" s="21"/>
      <c r="BG126" s="21"/>
      <c r="BI126" s="20"/>
      <c r="BJ126" s="20"/>
      <c r="BK126" s="20"/>
      <c r="BL126" s="20"/>
      <c r="BM126" s="7"/>
      <c r="BN126" s="7"/>
    </row>
    <row r="127">
      <c r="AE127" s="14"/>
      <c r="AZ127" s="21"/>
      <c r="BA127" s="21"/>
      <c r="BB127" s="21"/>
      <c r="BC127" s="21"/>
      <c r="BD127" s="21"/>
      <c r="BE127" s="21"/>
      <c r="BF127" s="21"/>
      <c r="BG127" s="21"/>
      <c r="BI127" s="20"/>
      <c r="BJ127" s="20"/>
      <c r="BK127" s="20"/>
      <c r="BL127" s="20"/>
      <c r="BM127" s="7"/>
      <c r="BN127" s="7"/>
    </row>
    <row r="128">
      <c r="AE128" s="14"/>
      <c r="AZ128" s="21"/>
      <c r="BA128" s="21"/>
      <c r="BB128" s="21"/>
      <c r="BC128" s="21"/>
      <c r="BD128" s="21"/>
      <c r="BE128" s="21"/>
      <c r="BF128" s="21"/>
      <c r="BG128" s="21"/>
      <c r="BI128" s="20"/>
      <c r="BJ128" s="20"/>
      <c r="BK128" s="20"/>
      <c r="BL128" s="20"/>
      <c r="BM128" s="7"/>
      <c r="BN128" s="7"/>
    </row>
    <row r="129">
      <c r="AE129" s="14"/>
      <c r="AZ129" s="21"/>
      <c r="BA129" s="21"/>
      <c r="BB129" s="21"/>
      <c r="BC129" s="21"/>
      <c r="BD129" s="21"/>
      <c r="BE129" s="21"/>
      <c r="BF129" s="21"/>
      <c r="BG129" s="21"/>
      <c r="BI129" s="20"/>
      <c r="BJ129" s="20"/>
      <c r="BK129" s="20"/>
      <c r="BL129" s="20"/>
      <c r="BM129" s="7"/>
      <c r="BN129" s="7"/>
    </row>
    <row r="130">
      <c r="AE130" s="14"/>
      <c r="AZ130" s="21"/>
      <c r="BA130" s="21"/>
      <c r="BB130" s="21"/>
      <c r="BC130" s="21"/>
      <c r="BD130" s="21"/>
      <c r="BE130" s="21"/>
      <c r="BF130" s="21"/>
      <c r="BG130" s="21"/>
      <c r="BI130" s="20"/>
      <c r="BJ130" s="20"/>
      <c r="BK130" s="20"/>
      <c r="BL130" s="20"/>
      <c r="BM130" s="7"/>
      <c r="BN130" s="7"/>
    </row>
    <row r="131">
      <c r="AE131" s="14"/>
      <c r="AZ131" s="21"/>
      <c r="BA131" s="21"/>
      <c r="BB131" s="21"/>
      <c r="BC131" s="21"/>
      <c r="BD131" s="21"/>
      <c r="BE131" s="21"/>
      <c r="BF131" s="21"/>
      <c r="BG131" s="21"/>
      <c r="BI131" s="20"/>
      <c r="BJ131" s="20"/>
      <c r="BK131" s="20"/>
      <c r="BL131" s="20"/>
      <c r="BM131" s="7"/>
      <c r="BN131" s="7"/>
    </row>
    <row r="132">
      <c r="AE132" s="14"/>
      <c r="AZ132" s="21"/>
      <c r="BA132" s="21"/>
      <c r="BB132" s="21"/>
      <c r="BC132" s="21"/>
      <c r="BD132" s="21"/>
      <c r="BE132" s="21"/>
      <c r="BF132" s="21"/>
      <c r="BG132" s="21"/>
      <c r="BI132" s="20"/>
      <c r="BJ132" s="20"/>
      <c r="BK132" s="20"/>
      <c r="BL132" s="20"/>
      <c r="BM132" s="7"/>
      <c r="BN132" s="7"/>
    </row>
    <row r="133">
      <c r="AE133" s="14"/>
      <c r="AZ133" s="21"/>
      <c r="BA133" s="21"/>
      <c r="BB133" s="21"/>
      <c r="BC133" s="21"/>
      <c r="BD133" s="21"/>
      <c r="BE133" s="21"/>
      <c r="BF133" s="21"/>
      <c r="BG133" s="21"/>
      <c r="BI133" s="20"/>
      <c r="BJ133" s="20"/>
      <c r="BK133" s="20"/>
      <c r="BL133" s="20"/>
      <c r="BM133" s="7"/>
      <c r="BN133" s="7"/>
    </row>
    <row r="134">
      <c r="AE134" s="14"/>
      <c r="AZ134" s="21"/>
      <c r="BA134" s="21"/>
      <c r="BB134" s="21"/>
      <c r="BC134" s="21"/>
      <c r="BD134" s="21"/>
      <c r="BE134" s="21"/>
      <c r="BF134" s="21"/>
      <c r="BG134" s="21"/>
      <c r="BI134" s="20"/>
      <c r="BJ134" s="20"/>
      <c r="BK134" s="20"/>
      <c r="BL134" s="20"/>
      <c r="BM134" s="7"/>
      <c r="BN134" s="7"/>
    </row>
    <row r="135">
      <c r="AE135" s="14"/>
      <c r="AZ135" s="21"/>
      <c r="BA135" s="21"/>
      <c r="BB135" s="21"/>
      <c r="BC135" s="21"/>
      <c r="BD135" s="21"/>
      <c r="BE135" s="21"/>
      <c r="BF135" s="21"/>
      <c r="BG135" s="21"/>
      <c r="BI135" s="20"/>
      <c r="BJ135" s="20"/>
      <c r="BK135" s="20"/>
      <c r="BL135" s="20"/>
      <c r="BM135" s="7"/>
      <c r="BN135" s="7"/>
    </row>
    <row r="136">
      <c r="AE136" s="14"/>
      <c r="AZ136" s="21"/>
      <c r="BA136" s="21"/>
      <c r="BB136" s="21"/>
      <c r="BC136" s="21"/>
      <c r="BD136" s="21"/>
      <c r="BE136" s="21"/>
      <c r="BF136" s="21"/>
      <c r="BG136" s="21"/>
      <c r="BI136" s="20"/>
      <c r="BJ136" s="20"/>
      <c r="BK136" s="20"/>
      <c r="BL136" s="20"/>
      <c r="BM136" s="7"/>
      <c r="BN136" s="7"/>
    </row>
    <row r="137">
      <c r="AE137" s="14"/>
      <c r="AZ137" s="21"/>
      <c r="BA137" s="21"/>
      <c r="BB137" s="21"/>
      <c r="BC137" s="21"/>
      <c r="BD137" s="21"/>
      <c r="BE137" s="21"/>
      <c r="BF137" s="21"/>
      <c r="BG137" s="21"/>
      <c r="BI137" s="20"/>
      <c r="BJ137" s="20"/>
      <c r="BK137" s="20"/>
      <c r="BL137" s="20"/>
      <c r="BM137" s="7"/>
      <c r="BN137" s="7"/>
    </row>
    <row r="138">
      <c r="AE138" s="14"/>
      <c r="AZ138" s="21"/>
      <c r="BA138" s="21"/>
      <c r="BB138" s="21"/>
      <c r="BC138" s="21"/>
      <c r="BD138" s="21"/>
      <c r="BE138" s="21"/>
      <c r="BF138" s="21"/>
      <c r="BG138" s="21"/>
      <c r="BI138" s="20"/>
      <c r="BJ138" s="20"/>
      <c r="BK138" s="20"/>
      <c r="BL138" s="20"/>
      <c r="BM138" s="7"/>
      <c r="BN138" s="7"/>
    </row>
    <row r="139">
      <c r="AE139" s="14"/>
      <c r="AZ139" s="21"/>
      <c r="BA139" s="21"/>
      <c r="BB139" s="21"/>
      <c r="BC139" s="21"/>
      <c r="BD139" s="21"/>
      <c r="BE139" s="21"/>
      <c r="BF139" s="21"/>
      <c r="BG139" s="21"/>
      <c r="BI139" s="20"/>
      <c r="BJ139" s="20"/>
      <c r="BK139" s="20"/>
      <c r="BL139" s="20"/>
      <c r="BM139" s="7"/>
      <c r="BN139" s="7"/>
    </row>
    <row r="140">
      <c r="AE140" s="14"/>
      <c r="AZ140" s="21"/>
      <c r="BA140" s="21"/>
      <c r="BB140" s="21"/>
      <c r="BC140" s="21"/>
      <c r="BD140" s="21"/>
      <c r="BE140" s="21"/>
      <c r="BF140" s="21"/>
      <c r="BG140" s="21"/>
      <c r="BI140" s="20"/>
      <c r="BJ140" s="20"/>
      <c r="BK140" s="20"/>
      <c r="BL140" s="20"/>
      <c r="BM140" s="7"/>
      <c r="BN140" s="7"/>
    </row>
    <row r="141">
      <c r="AE141" s="14"/>
      <c r="AZ141" s="21"/>
      <c r="BA141" s="21"/>
      <c r="BB141" s="21"/>
      <c r="BC141" s="21"/>
      <c r="BD141" s="21"/>
      <c r="BE141" s="21"/>
      <c r="BF141" s="21"/>
      <c r="BG141" s="21"/>
      <c r="BI141" s="20"/>
      <c r="BJ141" s="20"/>
      <c r="BK141" s="20"/>
      <c r="BL141" s="20"/>
      <c r="BM141" s="7"/>
      <c r="BN141" s="7"/>
    </row>
    <row r="142">
      <c r="AE142" s="14"/>
      <c r="AZ142" s="21"/>
      <c r="BA142" s="21"/>
      <c r="BB142" s="21"/>
      <c r="BC142" s="21"/>
      <c r="BD142" s="21"/>
      <c r="BE142" s="21"/>
      <c r="BF142" s="21"/>
      <c r="BG142" s="21"/>
      <c r="BI142" s="20"/>
      <c r="BJ142" s="20"/>
      <c r="BK142" s="20"/>
      <c r="BL142" s="20"/>
      <c r="BM142" s="7"/>
      <c r="BN142" s="7"/>
    </row>
    <row r="143">
      <c r="AE143" s="14"/>
      <c r="AZ143" s="21"/>
      <c r="BA143" s="21"/>
      <c r="BB143" s="21"/>
      <c r="BC143" s="21"/>
      <c r="BD143" s="21"/>
      <c r="BE143" s="21"/>
      <c r="BF143" s="21"/>
      <c r="BG143" s="21"/>
      <c r="BI143" s="20"/>
      <c r="BJ143" s="20"/>
      <c r="BK143" s="20"/>
      <c r="BL143" s="20"/>
      <c r="BM143" s="7"/>
      <c r="BN143" s="7"/>
    </row>
    <row r="144">
      <c r="AE144" s="14"/>
      <c r="AZ144" s="21"/>
      <c r="BA144" s="21"/>
      <c r="BB144" s="21"/>
      <c r="BC144" s="21"/>
      <c r="BD144" s="21"/>
      <c r="BE144" s="21"/>
      <c r="BF144" s="21"/>
      <c r="BG144" s="21"/>
      <c r="BI144" s="20"/>
      <c r="BJ144" s="20"/>
      <c r="BK144" s="20"/>
      <c r="BL144" s="20"/>
      <c r="BM144" s="7"/>
      <c r="BN144" s="7"/>
    </row>
    <row r="145">
      <c r="AE145" s="14"/>
      <c r="AZ145" s="21"/>
      <c r="BA145" s="21"/>
      <c r="BB145" s="21"/>
      <c r="BC145" s="21"/>
      <c r="BD145" s="21"/>
      <c r="BE145" s="21"/>
      <c r="BF145" s="21"/>
      <c r="BG145" s="21"/>
      <c r="BI145" s="20"/>
      <c r="BJ145" s="20"/>
      <c r="BK145" s="20"/>
      <c r="BL145" s="20"/>
      <c r="BM145" s="7"/>
      <c r="BN145" s="7"/>
    </row>
    <row r="146">
      <c r="AE146" s="14"/>
      <c r="AZ146" s="21"/>
      <c r="BA146" s="21"/>
      <c r="BB146" s="21"/>
      <c r="BC146" s="21"/>
      <c r="BD146" s="21"/>
      <c r="BE146" s="21"/>
      <c r="BF146" s="21"/>
      <c r="BG146" s="21"/>
      <c r="BI146" s="20"/>
      <c r="BJ146" s="20"/>
      <c r="BK146" s="20"/>
      <c r="BL146" s="20"/>
      <c r="BM146" s="7"/>
      <c r="BN146" s="7"/>
    </row>
    <row r="147">
      <c r="AE147" s="14"/>
      <c r="AZ147" s="21"/>
      <c r="BA147" s="21"/>
      <c r="BB147" s="21"/>
      <c r="BC147" s="21"/>
      <c r="BD147" s="21"/>
      <c r="BE147" s="21"/>
      <c r="BF147" s="21"/>
      <c r="BG147" s="21"/>
      <c r="BI147" s="20"/>
      <c r="BJ147" s="20"/>
      <c r="BK147" s="20"/>
      <c r="BL147" s="20"/>
      <c r="BM147" s="7"/>
      <c r="BN147" s="7"/>
    </row>
    <row r="148">
      <c r="AE148" s="14"/>
      <c r="AZ148" s="21"/>
      <c r="BA148" s="21"/>
      <c r="BB148" s="21"/>
      <c r="BC148" s="21"/>
      <c r="BD148" s="21"/>
      <c r="BE148" s="21"/>
      <c r="BF148" s="21"/>
      <c r="BG148" s="21"/>
      <c r="BI148" s="20"/>
      <c r="BJ148" s="20"/>
      <c r="BK148" s="20"/>
      <c r="BL148" s="20"/>
      <c r="BM148" s="7"/>
      <c r="BN148" s="7"/>
    </row>
    <row r="149">
      <c r="AE149" s="14"/>
      <c r="AZ149" s="21"/>
      <c r="BA149" s="21"/>
      <c r="BB149" s="21"/>
      <c r="BC149" s="21"/>
      <c r="BD149" s="21"/>
      <c r="BE149" s="21"/>
      <c r="BF149" s="21"/>
      <c r="BG149" s="21"/>
      <c r="BI149" s="20"/>
      <c r="BJ149" s="20"/>
      <c r="BK149" s="20"/>
      <c r="BL149" s="20"/>
      <c r="BM149" s="7"/>
      <c r="BN149" s="7"/>
    </row>
    <row r="150">
      <c r="AE150" s="14"/>
      <c r="AZ150" s="21"/>
      <c r="BA150" s="21"/>
      <c r="BB150" s="21"/>
      <c r="BC150" s="21"/>
      <c r="BD150" s="21"/>
      <c r="BE150" s="21"/>
      <c r="BF150" s="21"/>
      <c r="BG150" s="21"/>
      <c r="BI150" s="20"/>
      <c r="BJ150" s="20"/>
      <c r="BK150" s="20"/>
      <c r="BL150" s="20"/>
      <c r="BM150" s="7"/>
      <c r="BN150" s="7"/>
    </row>
    <row r="151">
      <c r="AE151" s="14"/>
      <c r="AZ151" s="21"/>
      <c r="BA151" s="21"/>
      <c r="BB151" s="21"/>
      <c r="BC151" s="21"/>
      <c r="BD151" s="21"/>
      <c r="BE151" s="21"/>
      <c r="BF151" s="21"/>
      <c r="BG151" s="21"/>
      <c r="BI151" s="20"/>
      <c r="BJ151" s="20"/>
      <c r="BK151" s="20"/>
      <c r="BL151" s="20"/>
      <c r="BM151" s="7"/>
      <c r="BN151" s="7"/>
    </row>
    <row r="152">
      <c r="AE152" s="14"/>
      <c r="AZ152" s="21"/>
      <c r="BA152" s="21"/>
      <c r="BB152" s="21"/>
      <c r="BC152" s="21"/>
      <c r="BD152" s="21"/>
      <c r="BE152" s="21"/>
      <c r="BF152" s="21"/>
      <c r="BG152" s="21"/>
      <c r="BI152" s="20"/>
      <c r="BJ152" s="20"/>
      <c r="BK152" s="20"/>
      <c r="BL152" s="20"/>
      <c r="BM152" s="7"/>
      <c r="BN152" s="7"/>
    </row>
    <row r="153">
      <c r="AE153" s="14"/>
      <c r="AZ153" s="21"/>
      <c r="BA153" s="21"/>
      <c r="BB153" s="21"/>
      <c r="BC153" s="21"/>
      <c r="BD153" s="21"/>
      <c r="BE153" s="21"/>
      <c r="BF153" s="21"/>
      <c r="BG153" s="21"/>
      <c r="BI153" s="20"/>
      <c r="BJ153" s="20"/>
      <c r="BK153" s="20"/>
      <c r="BL153" s="20"/>
      <c r="BM153" s="7"/>
      <c r="BN153" s="7"/>
    </row>
    <row r="154">
      <c r="AE154" s="14"/>
      <c r="AZ154" s="21"/>
      <c r="BA154" s="21"/>
      <c r="BB154" s="21"/>
      <c r="BC154" s="21"/>
      <c r="BD154" s="21"/>
      <c r="BE154" s="21"/>
      <c r="BF154" s="21"/>
      <c r="BG154" s="21"/>
      <c r="BI154" s="20"/>
      <c r="BJ154" s="20"/>
      <c r="BK154" s="20"/>
      <c r="BL154" s="20"/>
      <c r="BM154" s="7"/>
      <c r="BN154" s="7"/>
    </row>
    <row r="155">
      <c r="AE155" s="14"/>
      <c r="AZ155" s="21"/>
      <c r="BA155" s="21"/>
      <c r="BB155" s="21"/>
      <c r="BC155" s="21"/>
      <c r="BD155" s="21"/>
      <c r="BE155" s="21"/>
      <c r="BF155" s="21"/>
      <c r="BG155" s="21"/>
      <c r="BI155" s="20"/>
      <c r="BJ155" s="20"/>
      <c r="BK155" s="20"/>
      <c r="BL155" s="20"/>
      <c r="BM155" s="7"/>
      <c r="BN155" s="7"/>
    </row>
    <row r="156">
      <c r="AE156" s="14"/>
      <c r="AZ156" s="21"/>
      <c r="BA156" s="21"/>
      <c r="BB156" s="21"/>
      <c r="BC156" s="21"/>
      <c r="BD156" s="21"/>
      <c r="BE156" s="21"/>
      <c r="BF156" s="21"/>
      <c r="BG156" s="21"/>
      <c r="BI156" s="20"/>
      <c r="BJ156" s="20"/>
      <c r="BK156" s="20"/>
      <c r="BL156" s="20"/>
      <c r="BM156" s="7"/>
      <c r="BN156" s="7"/>
    </row>
    <row r="157">
      <c r="AE157" s="14"/>
      <c r="AZ157" s="21"/>
      <c r="BA157" s="21"/>
      <c r="BB157" s="21"/>
      <c r="BC157" s="21"/>
      <c r="BD157" s="21"/>
      <c r="BE157" s="21"/>
      <c r="BF157" s="21"/>
      <c r="BG157" s="21"/>
      <c r="BI157" s="20"/>
      <c r="BJ157" s="20"/>
      <c r="BK157" s="20"/>
      <c r="BL157" s="20"/>
      <c r="BM157" s="7"/>
      <c r="BN157" s="7"/>
    </row>
    <row r="158">
      <c r="AE158" s="14"/>
      <c r="AZ158" s="21"/>
      <c r="BA158" s="21"/>
      <c r="BB158" s="21"/>
      <c r="BC158" s="21"/>
      <c r="BD158" s="21"/>
      <c r="BE158" s="21"/>
      <c r="BF158" s="21"/>
      <c r="BG158" s="21"/>
      <c r="BI158" s="20"/>
      <c r="BJ158" s="20"/>
      <c r="BK158" s="20"/>
      <c r="BL158" s="20"/>
      <c r="BM158" s="7"/>
      <c r="BN158" s="7"/>
    </row>
    <row r="159">
      <c r="AE159" s="14"/>
      <c r="AZ159" s="21"/>
      <c r="BA159" s="21"/>
      <c r="BB159" s="21"/>
      <c r="BC159" s="21"/>
      <c r="BD159" s="21"/>
      <c r="BE159" s="21"/>
      <c r="BF159" s="21"/>
      <c r="BG159" s="21"/>
      <c r="BI159" s="20"/>
      <c r="BJ159" s="20"/>
      <c r="BK159" s="20"/>
      <c r="BL159" s="20"/>
      <c r="BM159" s="7"/>
      <c r="BN159" s="7"/>
    </row>
    <row r="160">
      <c r="AE160" s="14"/>
      <c r="AZ160" s="21"/>
      <c r="BA160" s="21"/>
      <c r="BB160" s="21"/>
      <c r="BC160" s="21"/>
      <c r="BD160" s="21"/>
      <c r="BE160" s="21"/>
      <c r="BF160" s="21"/>
      <c r="BG160" s="21"/>
      <c r="BI160" s="20"/>
      <c r="BJ160" s="20"/>
      <c r="BK160" s="20"/>
      <c r="BL160" s="20"/>
      <c r="BM160" s="7"/>
      <c r="BN160" s="7"/>
    </row>
    <row r="161">
      <c r="AE161" s="14"/>
      <c r="AZ161" s="21"/>
      <c r="BA161" s="21"/>
      <c r="BB161" s="21"/>
      <c r="BC161" s="21"/>
      <c r="BD161" s="21"/>
      <c r="BE161" s="21"/>
      <c r="BF161" s="21"/>
      <c r="BG161" s="21"/>
      <c r="BI161" s="20"/>
      <c r="BJ161" s="20"/>
      <c r="BK161" s="20"/>
      <c r="BL161" s="20"/>
      <c r="BM161" s="7"/>
      <c r="BN161" s="7"/>
    </row>
    <row r="162">
      <c r="AE162" s="14"/>
      <c r="AZ162" s="21"/>
      <c r="BA162" s="21"/>
      <c r="BB162" s="21"/>
      <c r="BC162" s="21"/>
      <c r="BD162" s="21"/>
      <c r="BE162" s="21"/>
      <c r="BF162" s="21"/>
      <c r="BG162" s="21"/>
      <c r="BI162" s="20"/>
      <c r="BJ162" s="20"/>
      <c r="BK162" s="20"/>
      <c r="BL162" s="20"/>
      <c r="BM162" s="7"/>
      <c r="BN162" s="7"/>
    </row>
    <row r="163">
      <c r="AE163" s="14"/>
      <c r="AZ163" s="21"/>
      <c r="BA163" s="21"/>
      <c r="BB163" s="21"/>
      <c r="BC163" s="21"/>
      <c r="BD163" s="21"/>
      <c r="BE163" s="21"/>
      <c r="BF163" s="21"/>
      <c r="BG163" s="21"/>
      <c r="BI163" s="20"/>
      <c r="BJ163" s="20"/>
      <c r="BK163" s="20"/>
      <c r="BL163" s="20"/>
      <c r="BM163" s="7"/>
      <c r="BN163" s="7"/>
    </row>
    <row r="164">
      <c r="AE164" s="14"/>
      <c r="AZ164" s="21"/>
      <c r="BA164" s="21"/>
      <c r="BB164" s="21"/>
      <c r="BC164" s="21"/>
      <c r="BD164" s="21"/>
      <c r="BE164" s="21"/>
      <c r="BF164" s="21"/>
      <c r="BG164" s="21"/>
      <c r="BI164" s="20"/>
      <c r="BJ164" s="20"/>
      <c r="BK164" s="20"/>
      <c r="BL164" s="20"/>
      <c r="BM164" s="7"/>
      <c r="BN164" s="7"/>
    </row>
    <row r="165">
      <c r="AE165" s="14"/>
      <c r="AZ165" s="21"/>
      <c r="BA165" s="21"/>
      <c r="BB165" s="21"/>
      <c r="BC165" s="21"/>
      <c r="BD165" s="21"/>
      <c r="BE165" s="21"/>
      <c r="BF165" s="21"/>
      <c r="BG165" s="21"/>
      <c r="BI165" s="20"/>
      <c r="BJ165" s="20"/>
      <c r="BK165" s="20"/>
      <c r="BL165" s="20"/>
      <c r="BM165" s="7"/>
      <c r="BN165" s="7"/>
    </row>
    <row r="166">
      <c r="AE166" s="14"/>
      <c r="AZ166" s="21"/>
      <c r="BA166" s="21"/>
      <c r="BB166" s="21"/>
      <c r="BC166" s="21"/>
      <c r="BD166" s="21"/>
      <c r="BE166" s="21"/>
      <c r="BF166" s="21"/>
      <c r="BG166" s="21"/>
      <c r="BI166" s="20"/>
      <c r="BJ166" s="20"/>
      <c r="BK166" s="20"/>
      <c r="BL166" s="20"/>
      <c r="BM166" s="7"/>
      <c r="BN166" s="7"/>
    </row>
    <row r="167">
      <c r="AE167" s="14"/>
      <c r="AZ167" s="21"/>
      <c r="BA167" s="21"/>
      <c r="BB167" s="21"/>
      <c r="BC167" s="21"/>
      <c r="BD167" s="21"/>
      <c r="BE167" s="21"/>
      <c r="BF167" s="21"/>
      <c r="BG167" s="21"/>
      <c r="BI167" s="20"/>
      <c r="BJ167" s="20"/>
      <c r="BK167" s="20"/>
      <c r="BL167" s="20"/>
      <c r="BM167" s="7"/>
      <c r="BN167" s="7"/>
    </row>
    <row r="168">
      <c r="AE168" s="14"/>
      <c r="AZ168" s="21"/>
      <c r="BA168" s="21"/>
      <c r="BB168" s="21"/>
      <c r="BC168" s="21"/>
      <c r="BD168" s="21"/>
      <c r="BE168" s="21"/>
      <c r="BF168" s="21"/>
      <c r="BG168" s="21"/>
      <c r="BI168" s="20"/>
      <c r="BJ168" s="20"/>
      <c r="BK168" s="20"/>
      <c r="BL168" s="20"/>
      <c r="BM168" s="7"/>
      <c r="BN168" s="7"/>
    </row>
    <row r="169">
      <c r="AE169" s="14"/>
      <c r="AZ169" s="21"/>
      <c r="BA169" s="21"/>
      <c r="BB169" s="21"/>
      <c r="BC169" s="21"/>
      <c r="BD169" s="21"/>
      <c r="BE169" s="21"/>
      <c r="BF169" s="21"/>
      <c r="BG169" s="21"/>
      <c r="BI169" s="20"/>
      <c r="BJ169" s="20"/>
      <c r="BK169" s="20"/>
      <c r="BL169" s="20"/>
      <c r="BM169" s="7"/>
      <c r="BN169" s="7"/>
    </row>
    <row r="170">
      <c r="AE170" s="14"/>
      <c r="AZ170" s="21"/>
      <c r="BA170" s="21"/>
      <c r="BB170" s="21"/>
      <c r="BC170" s="21"/>
      <c r="BD170" s="21"/>
      <c r="BE170" s="21"/>
      <c r="BF170" s="21"/>
      <c r="BG170" s="21"/>
      <c r="BI170" s="20"/>
      <c r="BJ170" s="20"/>
      <c r="BK170" s="20"/>
      <c r="BL170" s="20"/>
      <c r="BM170" s="7"/>
      <c r="BN170" s="7"/>
    </row>
    <row r="171">
      <c r="AE171" s="14"/>
      <c r="AZ171" s="21"/>
      <c r="BA171" s="21"/>
      <c r="BB171" s="21"/>
      <c r="BC171" s="21"/>
      <c r="BD171" s="21"/>
      <c r="BE171" s="21"/>
      <c r="BF171" s="21"/>
      <c r="BG171" s="21"/>
      <c r="BI171" s="20"/>
      <c r="BJ171" s="20"/>
      <c r="BK171" s="20"/>
      <c r="BL171" s="20"/>
      <c r="BM171" s="7"/>
      <c r="BN171" s="7"/>
    </row>
    <row r="172">
      <c r="AE172" s="14"/>
      <c r="AZ172" s="21"/>
      <c r="BA172" s="21"/>
      <c r="BB172" s="21"/>
      <c r="BC172" s="21"/>
      <c r="BD172" s="21"/>
      <c r="BE172" s="21"/>
      <c r="BF172" s="21"/>
      <c r="BG172" s="21"/>
      <c r="BI172" s="20"/>
      <c r="BJ172" s="20"/>
      <c r="BK172" s="20"/>
      <c r="BL172" s="20"/>
      <c r="BM172" s="7"/>
      <c r="BN172" s="7"/>
    </row>
    <row r="173">
      <c r="AE173" s="14"/>
      <c r="AZ173" s="21"/>
      <c r="BA173" s="21"/>
      <c r="BB173" s="21"/>
      <c r="BC173" s="21"/>
      <c r="BD173" s="21"/>
      <c r="BE173" s="21"/>
      <c r="BF173" s="21"/>
      <c r="BG173" s="21"/>
      <c r="BI173" s="20"/>
      <c r="BJ173" s="20"/>
      <c r="BK173" s="20"/>
      <c r="BL173" s="20"/>
      <c r="BM173" s="7"/>
      <c r="BN173" s="7"/>
    </row>
    <row r="174">
      <c r="AE174" s="14"/>
      <c r="AZ174" s="21"/>
      <c r="BA174" s="21"/>
      <c r="BB174" s="21"/>
      <c r="BC174" s="21"/>
      <c r="BD174" s="21"/>
      <c r="BE174" s="21"/>
      <c r="BF174" s="21"/>
      <c r="BG174" s="21"/>
      <c r="BI174" s="20"/>
      <c r="BJ174" s="20"/>
      <c r="BK174" s="20"/>
      <c r="BL174" s="20"/>
      <c r="BM174" s="7"/>
      <c r="BN174" s="7"/>
    </row>
    <row r="175">
      <c r="AE175" s="14"/>
      <c r="AZ175" s="21"/>
      <c r="BA175" s="21"/>
      <c r="BB175" s="21"/>
      <c r="BC175" s="21"/>
      <c r="BD175" s="21"/>
      <c r="BE175" s="21"/>
      <c r="BF175" s="21"/>
      <c r="BG175" s="21"/>
      <c r="BI175" s="20"/>
      <c r="BJ175" s="20"/>
      <c r="BK175" s="20"/>
      <c r="BL175" s="20"/>
      <c r="BM175" s="7"/>
      <c r="BN175" s="7"/>
    </row>
    <row r="176">
      <c r="AE176" s="14"/>
      <c r="AZ176" s="21"/>
      <c r="BA176" s="21"/>
      <c r="BB176" s="21"/>
      <c r="BC176" s="21"/>
      <c r="BD176" s="21"/>
      <c r="BE176" s="21"/>
      <c r="BF176" s="21"/>
      <c r="BG176" s="21"/>
      <c r="BI176" s="20"/>
      <c r="BJ176" s="20"/>
      <c r="BK176" s="20"/>
      <c r="BL176" s="20"/>
      <c r="BM176" s="7"/>
      <c r="BN176" s="7"/>
    </row>
    <row r="177">
      <c r="AE177" s="14"/>
      <c r="AZ177" s="21"/>
      <c r="BA177" s="21"/>
      <c r="BB177" s="21"/>
      <c r="BC177" s="21"/>
      <c r="BD177" s="21"/>
      <c r="BE177" s="21"/>
      <c r="BF177" s="21"/>
      <c r="BG177" s="21"/>
      <c r="BI177" s="20"/>
      <c r="BJ177" s="20"/>
      <c r="BK177" s="20"/>
      <c r="BL177" s="20"/>
      <c r="BM177" s="7"/>
      <c r="BN177" s="7"/>
    </row>
    <row r="178">
      <c r="AE178" s="14"/>
      <c r="AZ178" s="21"/>
      <c r="BA178" s="21"/>
      <c r="BB178" s="21"/>
      <c r="BC178" s="21"/>
      <c r="BD178" s="21"/>
      <c r="BE178" s="21"/>
      <c r="BF178" s="21"/>
      <c r="BG178" s="21"/>
      <c r="BI178" s="20"/>
      <c r="BJ178" s="20"/>
      <c r="BK178" s="20"/>
      <c r="BL178" s="20"/>
      <c r="BM178" s="7"/>
      <c r="BN178" s="7"/>
    </row>
    <row r="179">
      <c r="AE179" s="14"/>
      <c r="AZ179" s="21"/>
      <c r="BA179" s="21"/>
      <c r="BB179" s="21"/>
      <c r="BC179" s="21"/>
      <c r="BD179" s="21"/>
      <c r="BE179" s="21"/>
      <c r="BF179" s="21"/>
      <c r="BG179" s="21"/>
      <c r="BI179" s="20"/>
      <c r="BJ179" s="20"/>
      <c r="BK179" s="20"/>
      <c r="BL179" s="20"/>
      <c r="BM179" s="7"/>
      <c r="BN179" s="7"/>
    </row>
    <row r="180">
      <c r="AE180" s="14"/>
      <c r="AZ180" s="21"/>
      <c r="BA180" s="21"/>
      <c r="BB180" s="21"/>
      <c r="BC180" s="21"/>
      <c r="BD180" s="21"/>
      <c r="BE180" s="21"/>
      <c r="BF180" s="21"/>
      <c r="BG180" s="21"/>
      <c r="BI180" s="20"/>
      <c r="BJ180" s="20"/>
      <c r="BK180" s="20"/>
      <c r="BL180" s="20"/>
      <c r="BM180" s="7"/>
      <c r="BN180" s="7"/>
    </row>
    <row r="181">
      <c r="AE181" s="14"/>
      <c r="AZ181" s="21"/>
      <c r="BA181" s="21"/>
      <c r="BB181" s="21"/>
      <c r="BC181" s="21"/>
      <c r="BD181" s="21"/>
      <c r="BE181" s="21"/>
      <c r="BF181" s="21"/>
      <c r="BG181" s="21"/>
      <c r="BI181" s="20"/>
      <c r="BJ181" s="20"/>
      <c r="BK181" s="20"/>
      <c r="BL181" s="20"/>
      <c r="BM181" s="7"/>
      <c r="BN181" s="7"/>
    </row>
    <row r="182">
      <c r="AE182" s="14"/>
      <c r="AZ182" s="21"/>
      <c r="BA182" s="21"/>
      <c r="BB182" s="21"/>
      <c r="BC182" s="21"/>
      <c r="BD182" s="21"/>
      <c r="BE182" s="21"/>
      <c r="BF182" s="21"/>
      <c r="BG182" s="21"/>
      <c r="BI182" s="20"/>
      <c r="BJ182" s="20"/>
      <c r="BK182" s="20"/>
      <c r="BL182" s="20"/>
      <c r="BM182" s="7"/>
      <c r="BN182" s="7"/>
    </row>
    <row r="183">
      <c r="AE183" s="14"/>
      <c r="AZ183" s="21"/>
      <c r="BA183" s="21"/>
      <c r="BB183" s="21"/>
      <c r="BC183" s="21"/>
      <c r="BD183" s="21"/>
      <c r="BE183" s="21"/>
      <c r="BF183" s="21"/>
      <c r="BG183" s="21"/>
      <c r="BI183" s="20"/>
      <c r="BJ183" s="20"/>
      <c r="BK183" s="20"/>
      <c r="BL183" s="20"/>
      <c r="BM183" s="7"/>
      <c r="BN183" s="7"/>
    </row>
    <row r="184">
      <c r="AE184" s="14"/>
      <c r="AZ184" s="21"/>
      <c r="BA184" s="21"/>
      <c r="BB184" s="21"/>
      <c r="BC184" s="21"/>
      <c r="BD184" s="21"/>
      <c r="BE184" s="21"/>
      <c r="BF184" s="21"/>
      <c r="BG184" s="21"/>
      <c r="BI184" s="20"/>
      <c r="BJ184" s="20"/>
      <c r="BK184" s="20"/>
      <c r="BL184" s="20"/>
      <c r="BM184" s="7"/>
      <c r="BN184" s="7"/>
    </row>
    <row r="185">
      <c r="AE185" s="14"/>
      <c r="AZ185" s="21"/>
      <c r="BA185" s="21"/>
      <c r="BB185" s="21"/>
      <c r="BC185" s="21"/>
      <c r="BD185" s="21"/>
      <c r="BE185" s="21"/>
      <c r="BF185" s="21"/>
      <c r="BG185" s="21"/>
      <c r="BI185" s="20"/>
      <c r="BJ185" s="20"/>
      <c r="BK185" s="20"/>
      <c r="BL185" s="20"/>
      <c r="BM185" s="7"/>
      <c r="BN185" s="7"/>
    </row>
    <row r="186">
      <c r="AE186" s="14"/>
      <c r="AZ186" s="21"/>
      <c r="BA186" s="21"/>
      <c r="BB186" s="21"/>
      <c r="BC186" s="21"/>
      <c r="BD186" s="21"/>
      <c r="BE186" s="21"/>
      <c r="BF186" s="21"/>
      <c r="BG186" s="21"/>
      <c r="BI186" s="20"/>
      <c r="BJ186" s="20"/>
      <c r="BK186" s="20"/>
      <c r="BL186" s="20"/>
      <c r="BM186" s="7"/>
      <c r="BN186" s="7"/>
    </row>
    <row r="187">
      <c r="AE187" s="14"/>
      <c r="AZ187" s="21"/>
      <c r="BA187" s="21"/>
      <c r="BB187" s="21"/>
      <c r="BC187" s="21"/>
      <c r="BD187" s="21"/>
      <c r="BE187" s="21"/>
      <c r="BF187" s="21"/>
      <c r="BG187" s="21"/>
      <c r="BI187" s="20"/>
      <c r="BJ187" s="20"/>
      <c r="BK187" s="20"/>
      <c r="BL187" s="20"/>
      <c r="BM187" s="7"/>
      <c r="BN187" s="7"/>
    </row>
    <row r="188">
      <c r="AE188" s="14"/>
      <c r="AZ188" s="21"/>
      <c r="BA188" s="21"/>
      <c r="BB188" s="21"/>
      <c r="BC188" s="21"/>
      <c r="BD188" s="21"/>
      <c r="BE188" s="21"/>
      <c r="BF188" s="21"/>
      <c r="BG188" s="21"/>
      <c r="BI188" s="20"/>
      <c r="BJ188" s="20"/>
      <c r="BK188" s="20"/>
      <c r="BL188" s="20"/>
      <c r="BM188" s="7"/>
      <c r="BN188" s="7"/>
    </row>
    <row r="189">
      <c r="AE189" s="14"/>
      <c r="AZ189" s="21"/>
      <c r="BA189" s="21"/>
      <c r="BB189" s="21"/>
      <c r="BC189" s="21"/>
      <c r="BD189" s="21"/>
      <c r="BE189" s="21"/>
      <c r="BF189" s="21"/>
      <c r="BG189" s="21"/>
      <c r="BI189" s="20"/>
      <c r="BJ189" s="20"/>
      <c r="BK189" s="20"/>
      <c r="BL189" s="20"/>
      <c r="BM189" s="7"/>
      <c r="BN189" s="7"/>
    </row>
    <row r="190">
      <c r="AE190" s="14"/>
      <c r="AZ190" s="21"/>
      <c r="BA190" s="21"/>
      <c r="BB190" s="21"/>
      <c r="BC190" s="21"/>
      <c r="BD190" s="21"/>
      <c r="BE190" s="21"/>
      <c r="BF190" s="21"/>
      <c r="BG190" s="21"/>
      <c r="BI190" s="20"/>
      <c r="BJ190" s="20"/>
      <c r="BK190" s="20"/>
      <c r="BL190" s="20"/>
      <c r="BM190" s="7"/>
      <c r="BN190" s="7"/>
    </row>
    <row r="191">
      <c r="AE191" s="14"/>
      <c r="AZ191" s="21"/>
      <c r="BA191" s="21"/>
      <c r="BB191" s="21"/>
      <c r="BC191" s="21"/>
      <c r="BD191" s="21"/>
      <c r="BE191" s="21"/>
      <c r="BF191" s="21"/>
      <c r="BG191" s="21"/>
      <c r="BI191" s="20"/>
      <c r="BJ191" s="20"/>
      <c r="BK191" s="20"/>
      <c r="BL191" s="20"/>
      <c r="BM191" s="7"/>
      <c r="BN191" s="7"/>
    </row>
    <row r="192">
      <c r="AE192" s="14"/>
      <c r="AZ192" s="21"/>
      <c r="BA192" s="21"/>
      <c r="BB192" s="21"/>
      <c r="BC192" s="21"/>
      <c r="BD192" s="21"/>
      <c r="BE192" s="21"/>
      <c r="BF192" s="21"/>
      <c r="BG192" s="21"/>
      <c r="BI192" s="20"/>
      <c r="BJ192" s="20"/>
      <c r="BK192" s="20"/>
      <c r="BL192" s="20"/>
      <c r="BM192" s="7"/>
      <c r="BN192" s="7"/>
    </row>
    <row r="193">
      <c r="AE193" s="14"/>
      <c r="AZ193" s="21"/>
      <c r="BA193" s="21"/>
      <c r="BB193" s="21"/>
      <c r="BC193" s="21"/>
      <c r="BD193" s="21"/>
      <c r="BE193" s="21"/>
      <c r="BF193" s="21"/>
      <c r="BG193" s="21"/>
      <c r="BI193" s="20"/>
      <c r="BJ193" s="20"/>
      <c r="BK193" s="20"/>
      <c r="BL193" s="20"/>
      <c r="BM193" s="7"/>
      <c r="BN193" s="7"/>
    </row>
    <row r="194">
      <c r="AE194" s="14"/>
      <c r="AZ194" s="21"/>
      <c r="BA194" s="21"/>
      <c r="BB194" s="21"/>
      <c r="BC194" s="21"/>
      <c r="BD194" s="21"/>
      <c r="BE194" s="21"/>
      <c r="BF194" s="21"/>
      <c r="BG194" s="21"/>
      <c r="BI194" s="20"/>
      <c r="BJ194" s="20"/>
      <c r="BK194" s="20"/>
      <c r="BL194" s="20"/>
      <c r="BM194" s="7"/>
      <c r="BN194" s="7"/>
    </row>
    <row r="195">
      <c r="AE195" s="14"/>
      <c r="AZ195" s="21"/>
      <c r="BA195" s="21"/>
      <c r="BB195" s="21"/>
      <c r="BC195" s="21"/>
      <c r="BD195" s="21"/>
      <c r="BE195" s="21"/>
      <c r="BF195" s="21"/>
      <c r="BG195" s="21"/>
      <c r="BI195" s="20"/>
      <c r="BJ195" s="20"/>
      <c r="BK195" s="20"/>
      <c r="BL195" s="20"/>
      <c r="BM195" s="7"/>
      <c r="BN195" s="7"/>
    </row>
    <row r="196">
      <c r="AE196" s="14"/>
      <c r="AZ196" s="21"/>
      <c r="BA196" s="21"/>
      <c r="BB196" s="21"/>
      <c r="BC196" s="21"/>
      <c r="BD196" s="21"/>
      <c r="BE196" s="21"/>
      <c r="BF196" s="21"/>
      <c r="BG196" s="21"/>
      <c r="BI196" s="20"/>
      <c r="BJ196" s="20"/>
      <c r="BK196" s="20"/>
      <c r="BL196" s="20"/>
      <c r="BM196" s="7"/>
      <c r="BN196" s="7"/>
    </row>
    <row r="197">
      <c r="AE197" s="14"/>
      <c r="AZ197" s="21"/>
      <c r="BA197" s="21"/>
      <c r="BB197" s="21"/>
      <c r="BC197" s="21"/>
      <c r="BD197" s="21"/>
      <c r="BE197" s="21"/>
      <c r="BF197" s="21"/>
      <c r="BG197" s="21"/>
      <c r="BI197" s="20"/>
      <c r="BJ197" s="20"/>
      <c r="BK197" s="20"/>
      <c r="BL197" s="20"/>
      <c r="BM197" s="7"/>
      <c r="BN197" s="7"/>
    </row>
    <row r="198">
      <c r="AE198" s="14"/>
      <c r="AZ198" s="21"/>
      <c r="BA198" s="21"/>
      <c r="BB198" s="21"/>
      <c r="BC198" s="21"/>
      <c r="BD198" s="21"/>
      <c r="BE198" s="21"/>
      <c r="BF198" s="21"/>
      <c r="BG198" s="21"/>
      <c r="BI198" s="20"/>
      <c r="BJ198" s="20"/>
      <c r="BK198" s="20"/>
      <c r="BL198" s="20"/>
      <c r="BM198" s="7"/>
      <c r="BN198" s="7"/>
    </row>
    <row r="199">
      <c r="AE199" s="14"/>
      <c r="AZ199" s="21"/>
      <c r="BA199" s="21"/>
      <c r="BB199" s="21"/>
      <c r="BC199" s="21"/>
      <c r="BD199" s="21"/>
      <c r="BE199" s="21"/>
      <c r="BF199" s="21"/>
      <c r="BG199" s="21"/>
      <c r="BI199" s="20"/>
      <c r="BJ199" s="20"/>
      <c r="BK199" s="20"/>
      <c r="BL199" s="20"/>
      <c r="BM199" s="7"/>
      <c r="BN199" s="7"/>
    </row>
    <row r="200">
      <c r="AE200" s="14"/>
      <c r="AZ200" s="21"/>
      <c r="BA200" s="21"/>
      <c r="BB200" s="21"/>
      <c r="BC200" s="21"/>
      <c r="BD200" s="21"/>
      <c r="BE200" s="21"/>
      <c r="BF200" s="21"/>
      <c r="BG200" s="21"/>
      <c r="BI200" s="20"/>
      <c r="BJ200" s="20"/>
      <c r="BK200" s="20"/>
      <c r="BL200" s="20"/>
      <c r="BM200" s="7"/>
      <c r="BN200" s="7"/>
    </row>
    <row r="201">
      <c r="AE201" s="14"/>
      <c r="AZ201" s="21"/>
      <c r="BA201" s="21"/>
      <c r="BB201" s="21"/>
      <c r="BC201" s="21"/>
      <c r="BD201" s="21"/>
      <c r="BE201" s="21"/>
      <c r="BF201" s="21"/>
      <c r="BG201" s="21"/>
      <c r="BI201" s="20"/>
      <c r="BJ201" s="20"/>
      <c r="BK201" s="20"/>
      <c r="BL201" s="20"/>
      <c r="BM201" s="7"/>
      <c r="BN201" s="7"/>
    </row>
    <row r="202">
      <c r="AE202" s="14"/>
      <c r="AZ202" s="21"/>
      <c r="BA202" s="21"/>
      <c r="BB202" s="21"/>
      <c r="BC202" s="21"/>
      <c r="BD202" s="21"/>
      <c r="BE202" s="21"/>
      <c r="BF202" s="21"/>
      <c r="BG202" s="21"/>
      <c r="BI202" s="20"/>
      <c r="BJ202" s="20"/>
      <c r="BK202" s="20"/>
      <c r="BL202" s="20"/>
      <c r="BM202" s="7"/>
      <c r="BN202" s="7"/>
    </row>
    <row r="203">
      <c r="AE203" s="14"/>
      <c r="AZ203" s="21"/>
      <c r="BA203" s="21"/>
      <c r="BB203" s="21"/>
      <c r="BC203" s="21"/>
      <c r="BD203" s="21"/>
      <c r="BE203" s="21"/>
      <c r="BF203" s="21"/>
      <c r="BG203" s="21"/>
      <c r="BI203" s="20"/>
      <c r="BJ203" s="20"/>
      <c r="BK203" s="20"/>
      <c r="BL203" s="20"/>
      <c r="BM203" s="7"/>
      <c r="BN203" s="7"/>
    </row>
    <row r="204">
      <c r="AE204" s="14"/>
      <c r="AZ204" s="21"/>
      <c r="BA204" s="21"/>
      <c r="BB204" s="21"/>
      <c r="BC204" s="21"/>
      <c r="BD204" s="21"/>
      <c r="BE204" s="21"/>
      <c r="BF204" s="21"/>
      <c r="BG204" s="21"/>
      <c r="BI204" s="20"/>
      <c r="BJ204" s="20"/>
      <c r="BK204" s="20"/>
      <c r="BL204" s="20"/>
      <c r="BM204" s="7"/>
      <c r="BN204" s="7"/>
    </row>
    <row r="205">
      <c r="AE205" s="14"/>
      <c r="AZ205" s="21"/>
      <c r="BA205" s="21"/>
      <c r="BB205" s="21"/>
      <c r="BC205" s="21"/>
      <c r="BD205" s="21"/>
      <c r="BE205" s="21"/>
      <c r="BF205" s="21"/>
      <c r="BG205" s="21"/>
      <c r="BI205" s="20"/>
      <c r="BJ205" s="20"/>
      <c r="BK205" s="20"/>
      <c r="BL205" s="20"/>
      <c r="BM205" s="7"/>
      <c r="BN205" s="7"/>
    </row>
    <row r="206">
      <c r="AE206" s="14"/>
      <c r="AZ206" s="21"/>
      <c r="BA206" s="21"/>
      <c r="BB206" s="21"/>
      <c r="BC206" s="21"/>
      <c r="BD206" s="21"/>
      <c r="BE206" s="21"/>
      <c r="BF206" s="21"/>
      <c r="BG206" s="21"/>
      <c r="BI206" s="20"/>
      <c r="BJ206" s="20"/>
      <c r="BK206" s="20"/>
      <c r="BL206" s="20"/>
      <c r="BM206" s="7"/>
      <c r="BN206" s="7"/>
    </row>
    <row r="207">
      <c r="AE207" s="14"/>
      <c r="AZ207" s="21"/>
      <c r="BA207" s="21"/>
      <c r="BB207" s="21"/>
      <c r="BC207" s="21"/>
      <c r="BD207" s="21"/>
      <c r="BE207" s="21"/>
      <c r="BF207" s="21"/>
      <c r="BG207" s="21"/>
      <c r="BI207" s="20"/>
      <c r="BJ207" s="20"/>
      <c r="BK207" s="20"/>
      <c r="BL207" s="20"/>
      <c r="BM207" s="7"/>
      <c r="BN207" s="7"/>
    </row>
    <row r="208">
      <c r="AE208" s="14"/>
      <c r="AZ208" s="21"/>
      <c r="BA208" s="21"/>
      <c r="BB208" s="21"/>
      <c r="BC208" s="21"/>
      <c r="BD208" s="21"/>
      <c r="BE208" s="21"/>
      <c r="BF208" s="21"/>
      <c r="BG208" s="21"/>
      <c r="BI208" s="20"/>
      <c r="BJ208" s="20"/>
      <c r="BK208" s="20"/>
      <c r="BL208" s="20"/>
      <c r="BM208" s="7"/>
      <c r="BN208" s="7"/>
    </row>
    <row r="209">
      <c r="AE209" s="14"/>
      <c r="AZ209" s="21"/>
      <c r="BA209" s="21"/>
      <c r="BB209" s="21"/>
      <c r="BC209" s="21"/>
      <c r="BD209" s="21"/>
      <c r="BE209" s="21"/>
      <c r="BF209" s="21"/>
      <c r="BG209" s="21"/>
      <c r="BI209" s="20"/>
      <c r="BJ209" s="20"/>
      <c r="BK209" s="20"/>
      <c r="BL209" s="20"/>
      <c r="BM209" s="7"/>
      <c r="BN209" s="7"/>
    </row>
    <row r="210">
      <c r="AE210" s="14"/>
      <c r="AZ210" s="21"/>
      <c r="BA210" s="21"/>
      <c r="BB210" s="21"/>
      <c r="BC210" s="21"/>
      <c r="BD210" s="21"/>
      <c r="BE210" s="21"/>
      <c r="BF210" s="21"/>
      <c r="BG210" s="21"/>
      <c r="BI210" s="20"/>
      <c r="BJ210" s="20"/>
      <c r="BK210" s="20"/>
      <c r="BL210" s="20"/>
      <c r="BM210" s="7"/>
      <c r="BN210" s="7"/>
    </row>
    <row r="211">
      <c r="AE211" s="14"/>
      <c r="AZ211" s="21"/>
      <c r="BA211" s="21"/>
      <c r="BB211" s="21"/>
      <c r="BC211" s="21"/>
      <c r="BD211" s="21"/>
      <c r="BE211" s="21"/>
      <c r="BF211" s="21"/>
      <c r="BG211" s="21"/>
      <c r="BI211" s="20"/>
      <c r="BJ211" s="20"/>
      <c r="BK211" s="20"/>
      <c r="BL211" s="20"/>
      <c r="BM211" s="7"/>
      <c r="BN211" s="7"/>
    </row>
    <row r="212">
      <c r="AE212" s="14"/>
      <c r="AZ212" s="21"/>
      <c r="BA212" s="21"/>
      <c r="BB212" s="21"/>
      <c r="BC212" s="21"/>
      <c r="BD212" s="21"/>
      <c r="BE212" s="21"/>
      <c r="BF212" s="21"/>
      <c r="BG212" s="21"/>
      <c r="BI212" s="20"/>
      <c r="BJ212" s="20"/>
      <c r="BK212" s="20"/>
      <c r="BL212" s="20"/>
      <c r="BM212" s="7"/>
      <c r="BN212" s="7"/>
    </row>
    <row r="213">
      <c r="AE213" s="14"/>
      <c r="AZ213" s="21"/>
      <c r="BA213" s="21"/>
      <c r="BB213" s="21"/>
      <c r="BC213" s="21"/>
      <c r="BD213" s="21"/>
      <c r="BE213" s="21"/>
      <c r="BF213" s="21"/>
      <c r="BG213" s="21"/>
      <c r="BI213" s="20"/>
      <c r="BJ213" s="20"/>
      <c r="BK213" s="20"/>
      <c r="BL213" s="20"/>
      <c r="BM213" s="7"/>
      <c r="BN213" s="7"/>
    </row>
    <row r="214">
      <c r="AE214" s="14"/>
      <c r="AZ214" s="21"/>
      <c r="BA214" s="21"/>
      <c r="BB214" s="21"/>
      <c r="BC214" s="21"/>
      <c r="BD214" s="21"/>
      <c r="BE214" s="21"/>
      <c r="BF214" s="21"/>
      <c r="BG214" s="21"/>
      <c r="BI214" s="20"/>
      <c r="BJ214" s="20"/>
      <c r="BK214" s="20"/>
      <c r="BL214" s="20"/>
      <c r="BM214" s="7"/>
      <c r="BN214" s="7"/>
    </row>
    <row r="215">
      <c r="AE215" s="14"/>
      <c r="AZ215" s="21"/>
      <c r="BA215" s="21"/>
      <c r="BB215" s="21"/>
      <c r="BC215" s="21"/>
      <c r="BD215" s="21"/>
      <c r="BE215" s="21"/>
      <c r="BF215" s="21"/>
      <c r="BG215" s="21"/>
      <c r="BI215" s="20"/>
      <c r="BJ215" s="20"/>
      <c r="BK215" s="20"/>
      <c r="BL215" s="20"/>
      <c r="BM215" s="7"/>
      <c r="BN215" s="7"/>
    </row>
    <row r="216">
      <c r="AE216" s="14"/>
      <c r="AZ216" s="21"/>
      <c r="BA216" s="21"/>
      <c r="BB216" s="21"/>
      <c r="BC216" s="21"/>
      <c r="BD216" s="21"/>
      <c r="BE216" s="21"/>
      <c r="BF216" s="21"/>
      <c r="BG216" s="21"/>
      <c r="BI216" s="20"/>
      <c r="BJ216" s="20"/>
      <c r="BK216" s="20"/>
      <c r="BL216" s="20"/>
      <c r="BM216" s="7"/>
      <c r="BN216" s="7"/>
    </row>
    <row r="217">
      <c r="AE217" s="14"/>
      <c r="AZ217" s="21"/>
      <c r="BA217" s="21"/>
      <c r="BB217" s="21"/>
      <c r="BC217" s="21"/>
      <c r="BD217" s="21"/>
      <c r="BE217" s="21"/>
      <c r="BF217" s="21"/>
      <c r="BG217" s="21"/>
      <c r="BI217" s="20"/>
      <c r="BJ217" s="20"/>
      <c r="BK217" s="20"/>
      <c r="BL217" s="20"/>
      <c r="BM217" s="7"/>
      <c r="BN217" s="7"/>
    </row>
    <row r="218">
      <c r="AE218" s="14"/>
      <c r="AZ218" s="21"/>
      <c r="BA218" s="21"/>
      <c r="BB218" s="21"/>
      <c r="BC218" s="21"/>
      <c r="BD218" s="21"/>
      <c r="BE218" s="21"/>
      <c r="BF218" s="21"/>
      <c r="BG218" s="21"/>
      <c r="BI218" s="20"/>
      <c r="BJ218" s="20"/>
      <c r="BK218" s="20"/>
      <c r="BL218" s="20"/>
      <c r="BM218" s="7"/>
      <c r="BN218" s="7"/>
    </row>
    <row r="219">
      <c r="AE219" s="14"/>
      <c r="AZ219" s="21"/>
      <c r="BA219" s="21"/>
      <c r="BB219" s="21"/>
      <c r="BC219" s="21"/>
      <c r="BD219" s="21"/>
      <c r="BE219" s="21"/>
      <c r="BF219" s="21"/>
      <c r="BG219" s="21"/>
      <c r="BI219" s="20"/>
      <c r="BJ219" s="20"/>
      <c r="BK219" s="20"/>
      <c r="BL219" s="20"/>
      <c r="BM219" s="7"/>
      <c r="BN219" s="7"/>
    </row>
    <row r="220">
      <c r="AE220" s="14"/>
      <c r="AZ220" s="21"/>
      <c r="BA220" s="21"/>
      <c r="BB220" s="21"/>
      <c r="BC220" s="21"/>
      <c r="BD220" s="21"/>
      <c r="BE220" s="21"/>
      <c r="BF220" s="21"/>
      <c r="BG220" s="21"/>
      <c r="BI220" s="20"/>
      <c r="BJ220" s="20"/>
      <c r="BK220" s="20"/>
      <c r="BL220" s="20"/>
      <c r="BM220" s="7"/>
      <c r="BN220" s="7"/>
    </row>
    <row r="221">
      <c r="AE221" s="14"/>
      <c r="AZ221" s="21"/>
      <c r="BA221" s="21"/>
      <c r="BB221" s="21"/>
      <c r="BC221" s="21"/>
      <c r="BD221" s="21"/>
      <c r="BE221" s="21"/>
      <c r="BF221" s="21"/>
      <c r="BG221" s="21"/>
      <c r="BI221" s="20"/>
      <c r="BJ221" s="20"/>
      <c r="BK221" s="20"/>
      <c r="BL221" s="20"/>
      <c r="BM221" s="7"/>
      <c r="BN221" s="7"/>
    </row>
    <row r="222">
      <c r="AE222" s="14"/>
      <c r="AZ222" s="21"/>
      <c r="BA222" s="21"/>
      <c r="BB222" s="21"/>
      <c r="BC222" s="21"/>
      <c r="BD222" s="21"/>
      <c r="BE222" s="21"/>
      <c r="BF222" s="21"/>
      <c r="BG222" s="21"/>
      <c r="BI222" s="20"/>
      <c r="BJ222" s="20"/>
      <c r="BK222" s="20"/>
      <c r="BL222" s="20"/>
      <c r="BM222" s="7"/>
      <c r="BN222" s="7"/>
    </row>
    <row r="223">
      <c r="AE223" s="14"/>
      <c r="AZ223" s="21"/>
      <c r="BA223" s="21"/>
      <c r="BB223" s="21"/>
      <c r="BC223" s="21"/>
      <c r="BD223" s="21"/>
      <c r="BE223" s="21"/>
      <c r="BF223" s="21"/>
      <c r="BG223" s="21"/>
      <c r="BI223" s="20"/>
      <c r="BJ223" s="20"/>
      <c r="BK223" s="20"/>
      <c r="BL223" s="20"/>
      <c r="BM223" s="7"/>
      <c r="BN223" s="7"/>
    </row>
    <row r="224">
      <c r="AE224" s="14"/>
      <c r="AZ224" s="21"/>
      <c r="BA224" s="21"/>
      <c r="BB224" s="21"/>
      <c r="BC224" s="21"/>
      <c r="BD224" s="21"/>
      <c r="BE224" s="21"/>
      <c r="BF224" s="21"/>
      <c r="BG224" s="21"/>
      <c r="BI224" s="20"/>
      <c r="BJ224" s="20"/>
      <c r="BK224" s="20"/>
      <c r="BL224" s="20"/>
      <c r="BM224" s="7"/>
      <c r="BN224" s="7"/>
    </row>
    <row r="225">
      <c r="AE225" s="14"/>
      <c r="AZ225" s="21"/>
      <c r="BA225" s="21"/>
      <c r="BB225" s="21"/>
      <c r="BC225" s="21"/>
      <c r="BD225" s="21"/>
      <c r="BE225" s="21"/>
      <c r="BF225" s="21"/>
      <c r="BG225" s="21"/>
      <c r="BI225" s="20"/>
      <c r="BJ225" s="20"/>
      <c r="BK225" s="20"/>
      <c r="BL225" s="20"/>
      <c r="BM225" s="7"/>
      <c r="BN225" s="7"/>
    </row>
    <row r="226">
      <c r="AE226" s="14"/>
      <c r="AZ226" s="21"/>
      <c r="BA226" s="21"/>
      <c r="BB226" s="21"/>
      <c r="BC226" s="21"/>
      <c r="BD226" s="21"/>
      <c r="BE226" s="21"/>
      <c r="BF226" s="21"/>
      <c r="BG226" s="21"/>
      <c r="BI226" s="20"/>
      <c r="BJ226" s="20"/>
      <c r="BK226" s="20"/>
      <c r="BL226" s="20"/>
      <c r="BM226" s="7"/>
      <c r="BN226" s="7"/>
    </row>
    <row r="227">
      <c r="AE227" s="14"/>
      <c r="AZ227" s="21"/>
      <c r="BA227" s="21"/>
      <c r="BB227" s="21"/>
      <c r="BC227" s="21"/>
      <c r="BD227" s="21"/>
      <c r="BE227" s="21"/>
      <c r="BF227" s="21"/>
      <c r="BG227" s="21"/>
      <c r="BI227" s="20"/>
      <c r="BJ227" s="20"/>
      <c r="BK227" s="20"/>
      <c r="BL227" s="20"/>
      <c r="BM227" s="7"/>
      <c r="BN227" s="7"/>
    </row>
    <row r="228">
      <c r="AE228" s="14"/>
      <c r="AZ228" s="21"/>
      <c r="BA228" s="21"/>
      <c r="BB228" s="21"/>
      <c r="BC228" s="21"/>
      <c r="BD228" s="21"/>
      <c r="BE228" s="21"/>
      <c r="BF228" s="21"/>
      <c r="BG228" s="21"/>
      <c r="BI228" s="20"/>
      <c r="BJ228" s="20"/>
      <c r="BK228" s="20"/>
      <c r="BL228" s="20"/>
      <c r="BM228" s="7"/>
      <c r="BN228" s="7"/>
    </row>
    <row r="229">
      <c r="AE229" s="14"/>
      <c r="AZ229" s="21"/>
      <c r="BA229" s="21"/>
      <c r="BB229" s="21"/>
      <c r="BC229" s="21"/>
      <c r="BD229" s="21"/>
      <c r="BE229" s="21"/>
      <c r="BF229" s="21"/>
      <c r="BG229" s="21"/>
      <c r="BI229" s="20"/>
      <c r="BJ229" s="20"/>
      <c r="BK229" s="20"/>
      <c r="BL229" s="20"/>
      <c r="BM229" s="7"/>
      <c r="BN229" s="7"/>
    </row>
    <row r="230">
      <c r="AE230" s="14"/>
      <c r="AZ230" s="21"/>
      <c r="BA230" s="21"/>
      <c r="BB230" s="21"/>
      <c r="BC230" s="21"/>
      <c r="BD230" s="21"/>
      <c r="BE230" s="21"/>
      <c r="BF230" s="21"/>
      <c r="BG230" s="21"/>
      <c r="BI230" s="20"/>
      <c r="BJ230" s="20"/>
      <c r="BK230" s="20"/>
      <c r="BL230" s="20"/>
      <c r="BM230" s="7"/>
      <c r="BN230" s="7"/>
    </row>
    <row r="231">
      <c r="AE231" s="14"/>
      <c r="AZ231" s="21"/>
      <c r="BA231" s="21"/>
      <c r="BB231" s="21"/>
      <c r="BC231" s="21"/>
      <c r="BD231" s="21"/>
      <c r="BE231" s="21"/>
      <c r="BF231" s="21"/>
      <c r="BG231" s="21"/>
      <c r="BI231" s="20"/>
      <c r="BJ231" s="20"/>
      <c r="BK231" s="20"/>
      <c r="BL231" s="20"/>
      <c r="BM231" s="7"/>
      <c r="BN231" s="7"/>
    </row>
    <row r="232">
      <c r="AE232" s="14"/>
      <c r="AZ232" s="21"/>
      <c r="BA232" s="21"/>
      <c r="BB232" s="21"/>
      <c r="BC232" s="21"/>
      <c r="BD232" s="21"/>
      <c r="BE232" s="21"/>
      <c r="BF232" s="21"/>
      <c r="BG232" s="21"/>
      <c r="BI232" s="20"/>
      <c r="BJ232" s="20"/>
      <c r="BK232" s="20"/>
      <c r="BL232" s="20"/>
      <c r="BM232" s="7"/>
      <c r="BN232" s="7"/>
    </row>
    <row r="233">
      <c r="AE233" s="14"/>
      <c r="AZ233" s="21"/>
      <c r="BA233" s="21"/>
      <c r="BB233" s="21"/>
      <c r="BC233" s="21"/>
      <c r="BD233" s="21"/>
      <c r="BE233" s="21"/>
      <c r="BF233" s="21"/>
      <c r="BG233" s="21"/>
      <c r="BI233" s="20"/>
      <c r="BJ233" s="20"/>
      <c r="BK233" s="20"/>
      <c r="BL233" s="20"/>
      <c r="BM233" s="7"/>
      <c r="BN233" s="7"/>
    </row>
    <row r="234">
      <c r="AE234" s="14"/>
      <c r="AZ234" s="21"/>
      <c r="BA234" s="21"/>
      <c r="BB234" s="21"/>
      <c r="BC234" s="21"/>
      <c r="BD234" s="21"/>
      <c r="BE234" s="21"/>
      <c r="BF234" s="21"/>
      <c r="BG234" s="21"/>
      <c r="BI234" s="20"/>
      <c r="BJ234" s="20"/>
      <c r="BK234" s="20"/>
      <c r="BL234" s="20"/>
      <c r="BM234" s="7"/>
      <c r="BN234" s="7"/>
    </row>
    <row r="235">
      <c r="AE235" s="14"/>
      <c r="AZ235" s="21"/>
      <c r="BA235" s="21"/>
      <c r="BB235" s="21"/>
      <c r="BC235" s="21"/>
      <c r="BD235" s="21"/>
      <c r="BE235" s="21"/>
      <c r="BF235" s="21"/>
      <c r="BG235" s="21"/>
      <c r="BI235" s="20"/>
      <c r="BJ235" s="20"/>
      <c r="BK235" s="20"/>
      <c r="BL235" s="20"/>
      <c r="BM235" s="7"/>
      <c r="BN235" s="7"/>
    </row>
    <row r="236">
      <c r="AE236" s="14"/>
      <c r="AZ236" s="21"/>
      <c r="BA236" s="21"/>
      <c r="BB236" s="21"/>
      <c r="BC236" s="21"/>
      <c r="BD236" s="21"/>
      <c r="BE236" s="21"/>
      <c r="BF236" s="21"/>
      <c r="BG236" s="21"/>
      <c r="BI236" s="20"/>
      <c r="BJ236" s="20"/>
      <c r="BK236" s="20"/>
      <c r="BL236" s="20"/>
      <c r="BM236" s="7"/>
      <c r="BN236" s="7"/>
    </row>
    <row r="237">
      <c r="AE237" s="14"/>
      <c r="AZ237" s="21"/>
      <c r="BA237" s="21"/>
      <c r="BB237" s="21"/>
      <c r="BC237" s="21"/>
      <c r="BD237" s="21"/>
      <c r="BE237" s="21"/>
      <c r="BF237" s="21"/>
      <c r="BG237" s="21"/>
      <c r="BI237" s="20"/>
      <c r="BJ237" s="20"/>
      <c r="BK237" s="20"/>
      <c r="BL237" s="20"/>
      <c r="BM237" s="7"/>
      <c r="BN237" s="7"/>
    </row>
    <row r="238">
      <c r="AE238" s="14"/>
      <c r="AZ238" s="21"/>
      <c r="BA238" s="21"/>
      <c r="BB238" s="21"/>
      <c r="BC238" s="21"/>
      <c r="BD238" s="21"/>
      <c r="BE238" s="21"/>
      <c r="BF238" s="21"/>
      <c r="BG238" s="21"/>
      <c r="BI238" s="20"/>
      <c r="BJ238" s="20"/>
      <c r="BK238" s="20"/>
      <c r="BL238" s="20"/>
      <c r="BM238" s="7"/>
      <c r="BN238" s="7"/>
    </row>
    <row r="239">
      <c r="AE239" s="14"/>
      <c r="AZ239" s="21"/>
      <c r="BA239" s="21"/>
      <c r="BB239" s="21"/>
      <c r="BC239" s="21"/>
      <c r="BD239" s="21"/>
      <c r="BE239" s="21"/>
      <c r="BF239" s="21"/>
      <c r="BG239" s="21"/>
      <c r="BI239" s="20"/>
      <c r="BJ239" s="20"/>
      <c r="BK239" s="20"/>
      <c r="BL239" s="20"/>
      <c r="BM239" s="7"/>
      <c r="BN239" s="7"/>
    </row>
    <row r="240">
      <c r="AE240" s="14"/>
      <c r="AZ240" s="21"/>
      <c r="BA240" s="21"/>
      <c r="BB240" s="21"/>
      <c r="BC240" s="21"/>
      <c r="BD240" s="21"/>
      <c r="BE240" s="21"/>
      <c r="BF240" s="21"/>
      <c r="BG240" s="21"/>
      <c r="BI240" s="20"/>
      <c r="BJ240" s="20"/>
      <c r="BK240" s="20"/>
      <c r="BL240" s="20"/>
      <c r="BM240" s="7"/>
      <c r="BN240" s="7"/>
    </row>
    <row r="241">
      <c r="AE241" s="14"/>
      <c r="AZ241" s="21"/>
      <c r="BA241" s="21"/>
      <c r="BB241" s="21"/>
      <c r="BC241" s="21"/>
      <c r="BD241" s="21"/>
      <c r="BE241" s="21"/>
      <c r="BF241" s="21"/>
      <c r="BG241" s="21"/>
      <c r="BI241" s="20"/>
      <c r="BJ241" s="20"/>
      <c r="BK241" s="20"/>
      <c r="BL241" s="20"/>
      <c r="BM241" s="7"/>
      <c r="BN241" s="7"/>
    </row>
    <row r="242">
      <c r="AE242" s="14"/>
      <c r="AZ242" s="21"/>
      <c r="BA242" s="21"/>
      <c r="BB242" s="21"/>
      <c r="BC242" s="21"/>
      <c r="BD242" s="21"/>
      <c r="BE242" s="21"/>
      <c r="BF242" s="21"/>
      <c r="BG242" s="21"/>
      <c r="BI242" s="20"/>
      <c r="BJ242" s="20"/>
      <c r="BK242" s="20"/>
      <c r="BL242" s="20"/>
      <c r="BM242" s="7"/>
      <c r="BN242" s="7"/>
    </row>
    <row r="243">
      <c r="AE243" s="14"/>
      <c r="AZ243" s="21"/>
      <c r="BA243" s="21"/>
      <c r="BB243" s="21"/>
      <c r="BC243" s="21"/>
      <c r="BD243" s="21"/>
      <c r="BE243" s="21"/>
      <c r="BF243" s="21"/>
      <c r="BG243" s="21"/>
      <c r="BI243" s="20"/>
      <c r="BJ243" s="20"/>
      <c r="BK243" s="20"/>
      <c r="BL243" s="20"/>
      <c r="BM243" s="7"/>
      <c r="BN243" s="7"/>
    </row>
    <row r="244">
      <c r="AE244" s="14"/>
      <c r="AZ244" s="21"/>
      <c r="BA244" s="21"/>
      <c r="BB244" s="21"/>
      <c r="BC244" s="21"/>
      <c r="BD244" s="21"/>
      <c r="BE244" s="21"/>
      <c r="BF244" s="21"/>
      <c r="BG244" s="21"/>
      <c r="BI244" s="20"/>
      <c r="BJ244" s="20"/>
      <c r="BK244" s="20"/>
      <c r="BL244" s="20"/>
      <c r="BM244" s="7"/>
      <c r="BN244" s="7"/>
    </row>
    <row r="245">
      <c r="AE245" s="14"/>
      <c r="AZ245" s="21"/>
      <c r="BA245" s="21"/>
      <c r="BB245" s="21"/>
      <c r="BC245" s="21"/>
      <c r="BD245" s="21"/>
      <c r="BE245" s="21"/>
      <c r="BF245" s="21"/>
      <c r="BG245" s="21"/>
      <c r="BI245" s="20"/>
      <c r="BJ245" s="20"/>
      <c r="BK245" s="20"/>
      <c r="BL245" s="20"/>
      <c r="BM245" s="7"/>
      <c r="BN245" s="7"/>
    </row>
    <row r="246">
      <c r="AE246" s="14"/>
      <c r="AZ246" s="21"/>
      <c r="BA246" s="21"/>
      <c r="BB246" s="21"/>
      <c r="BC246" s="21"/>
      <c r="BD246" s="21"/>
      <c r="BE246" s="21"/>
      <c r="BF246" s="21"/>
      <c r="BG246" s="21"/>
      <c r="BI246" s="20"/>
      <c r="BJ246" s="20"/>
      <c r="BK246" s="20"/>
      <c r="BL246" s="20"/>
      <c r="BM246" s="7"/>
      <c r="BN246" s="7"/>
    </row>
    <row r="247">
      <c r="AE247" s="14"/>
      <c r="AZ247" s="21"/>
      <c r="BA247" s="21"/>
      <c r="BB247" s="21"/>
      <c r="BC247" s="21"/>
      <c r="BD247" s="21"/>
      <c r="BE247" s="21"/>
      <c r="BF247" s="21"/>
      <c r="BG247" s="21"/>
      <c r="BI247" s="20"/>
      <c r="BJ247" s="20"/>
      <c r="BK247" s="20"/>
      <c r="BL247" s="20"/>
      <c r="BM247" s="7"/>
      <c r="BN247" s="7"/>
    </row>
    <row r="248">
      <c r="AE248" s="14"/>
      <c r="AZ248" s="21"/>
      <c r="BA248" s="21"/>
      <c r="BB248" s="21"/>
      <c r="BC248" s="21"/>
      <c r="BD248" s="21"/>
      <c r="BE248" s="21"/>
      <c r="BF248" s="21"/>
      <c r="BG248" s="21"/>
      <c r="BI248" s="20"/>
      <c r="BJ248" s="20"/>
      <c r="BK248" s="20"/>
      <c r="BL248" s="20"/>
      <c r="BM248" s="7"/>
      <c r="BN248" s="7"/>
    </row>
    <row r="249">
      <c r="AE249" s="14"/>
      <c r="AZ249" s="21"/>
      <c r="BA249" s="21"/>
      <c r="BB249" s="21"/>
      <c r="BC249" s="21"/>
      <c r="BD249" s="21"/>
      <c r="BE249" s="21"/>
      <c r="BF249" s="21"/>
      <c r="BG249" s="21"/>
      <c r="BI249" s="20"/>
      <c r="BJ249" s="20"/>
      <c r="BK249" s="20"/>
      <c r="BL249" s="20"/>
      <c r="BM249" s="7"/>
      <c r="BN249" s="7"/>
    </row>
    <row r="250">
      <c r="AE250" s="14"/>
      <c r="AZ250" s="21"/>
      <c r="BA250" s="21"/>
      <c r="BB250" s="21"/>
      <c r="BC250" s="21"/>
      <c r="BD250" s="21"/>
      <c r="BE250" s="21"/>
      <c r="BF250" s="21"/>
      <c r="BG250" s="21"/>
      <c r="BI250" s="20"/>
      <c r="BJ250" s="20"/>
      <c r="BK250" s="20"/>
      <c r="BL250" s="20"/>
      <c r="BM250" s="7"/>
      <c r="BN250" s="7"/>
    </row>
    <row r="251">
      <c r="AE251" s="14"/>
      <c r="AZ251" s="21"/>
      <c r="BA251" s="21"/>
      <c r="BB251" s="21"/>
      <c r="BC251" s="21"/>
      <c r="BD251" s="21"/>
      <c r="BE251" s="21"/>
      <c r="BF251" s="21"/>
      <c r="BG251" s="21"/>
      <c r="BI251" s="20"/>
      <c r="BJ251" s="20"/>
      <c r="BK251" s="20"/>
      <c r="BL251" s="20"/>
      <c r="BM251" s="7"/>
      <c r="BN251" s="7"/>
    </row>
    <row r="252">
      <c r="AE252" s="14"/>
      <c r="AZ252" s="21"/>
      <c r="BA252" s="21"/>
      <c r="BB252" s="21"/>
      <c r="BC252" s="21"/>
      <c r="BD252" s="21"/>
      <c r="BE252" s="21"/>
      <c r="BF252" s="21"/>
      <c r="BG252" s="21"/>
      <c r="BI252" s="20"/>
      <c r="BJ252" s="20"/>
      <c r="BK252" s="20"/>
      <c r="BL252" s="20"/>
      <c r="BM252" s="7"/>
      <c r="BN252" s="7"/>
    </row>
    <row r="253">
      <c r="AE253" s="14"/>
      <c r="AZ253" s="21"/>
      <c r="BA253" s="21"/>
      <c r="BB253" s="21"/>
      <c r="BC253" s="21"/>
      <c r="BD253" s="21"/>
      <c r="BE253" s="21"/>
      <c r="BF253" s="21"/>
      <c r="BG253" s="21"/>
      <c r="BI253" s="20"/>
      <c r="BJ253" s="20"/>
      <c r="BK253" s="20"/>
      <c r="BL253" s="20"/>
      <c r="BM253" s="7"/>
      <c r="BN253" s="7"/>
    </row>
    <row r="254">
      <c r="AE254" s="14"/>
      <c r="AZ254" s="21"/>
      <c r="BA254" s="21"/>
      <c r="BB254" s="21"/>
      <c r="BC254" s="21"/>
      <c r="BD254" s="21"/>
      <c r="BE254" s="21"/>
      <c r="BF254" s="21"/>
      <c r="BG254" s="21"/>
      <c r="BI254" s="20"/>
      <c r="BJ254" s="20"/>
      <c r="BK254" s="20"/>
      <c r="BL254" s="20"/>
      <c r="BM254" s="7"/>
      <c r="BN254" s="7"/>
    </row>
    <row r="255">
      <c r="AE255" s="14"/>
      <c r="AZ255" s="21"/>
      <c r="BA255" s="21"/>
      <c r="BB255" s="21"/>
      <c r="BC255" s="21"/>
      <c r="BD255" s="21"/>
      <c r="BE255" s="21"/>
      <c r="BF255" s="21"/>
      <c r="BG255" s="21"/>
      <c r="BI255" s="20"/>
      <c r="BJ255" s="20"/>
      <c r="BK255" s="20"/>
      <c r="BL255" s="20"/>
      <c r="BM255" s="7"/>
      <c r="BN255" s="7"/>
    </row>
    <row r="256">
      <c r="AE256" s="14"/>
      <c r="AZ256" s="21"/>
      <c r="BA256" s="21"/>
      <c r="BB256" s="21"/>
      <c r="BC256" s="21"/>
      <c r="BD256" s="21"/>
      <c r="BE256" s="21"/>
      <c r="BF256" s="21"/>
      <c r="BG256" s="21"/>
      <c r="BI256" s="20"/>
      <c r="BJ256" s="20"/>
      <c r="BK256" s="20"/>
      <c r="BL256" s="20"/>
      <c r="BM256" s="7"/>
      <c r="BN256" s="7"/>
    </row>
    <row r="257">
      <c r="AE257" s="14"/>
      <c r="AZ257" s="21"/>
      <c r="BA257" s="21"/>
      <c r="BB257" s="21"/>
      <c r="BC257" s="21"/>
      <c r="BD257" s="21"/>
      <c r="BE257" s="21"/>
      <c r="BF257" s="21"/>
      <c r="BG257" s="21"/>
      <c r="BI257" s="20"/>
      <c r="BJ257" s="20"/>
      <c r="BK257" s="20"/>
      <c r="BL257" s="20"/>
      <c r="BM257" s="7"/>
      <c r="BN257" s="7"/>
    </row>
    <row r="258">
      <c r="AE258" s="14"/>
      <c r="AZ258" s="21"/>
      <c r="BA258" s="21"/>
      <c r="BB258" s="21"/>
      <c r="BC258" s="21"/>
      <c r="BD258" s="21"/>
      <c r="BE258" s="21"/>
      <c r="BF258" s="21"/>
      <c r="BG258" s="21"/>
      <c r="BI258" s="20"/>
      <c r="BJ258" s="20"/>
      <c r="BK258" s="20"/>
      <c r="BL258" s="20"/>
      <c r="BM258" s="7"/>
      <c r="BN258" s="7"/>
    </row>
    <row r="259">
      <c r="AE259" s="14"/>
      <c r="AZ259" s="21"/>
      <c r="BA259" s="21"/>
      <c r="BB259" s="21"/>
      <c r="BC259" s="21"/>
      <c r="BD259" s="21"/>
      <c r="BE259" s="21"/>
      <c r="BF259" s="21"/>
      <c r="BG259" s="21"/>
      <c r="BI259" s="20"/>
      <c r="BJ259" s="20"/>
      <c r="BK259" s="20"/>
      <c r="BL259" s="20"/>
      <c r="BM259" s="7"/>
      <c r="BN259" s="7"/>
    </row>
    <row r="260">
      <c r="AE260" s="14"/>
      <c r="AZ260" s="21"/>
      <c r="BA260" s="21"/>
      <c r="BB260" s="21"/>
      <c r="BC260" s="21"/>
      <c r="BD260" s="21"/>
      <c r="BE260" s="21"/>
      <c r="BF260" s="21"/>
      <c r="BG260" s="21"/>
      <c r="BI260" s="20"/>
      <c r="BJ260" s="20"/>
      <c r="BK260" s="20"/>
      <c r="BL260" s="20"/>
      <c r="BM260" s="7"/>
      <c r="BN260" s="7"/>
    </row>
    <row r="261">
      <c r="AE261" s="14"/>
      <c r="AZ261" s="21"/>
      <c r="BA261" s="21"/>
      <c r="BB261" s="21"/>
      <c r="BC261" s="21"/>
      <c r="BD261" s="21"/>
      <c r="BE261" s="21"/>
      <c r="BF261" s="21"/>
      <c r="BG261" s="21"/>
      <c r="BI261" s="20"/>
      <c r="BJ261" s="20"/>
      <c r="BK261" s="20"/>
      <c r="BL261" s="20"/>
      <c r="BM261" s="7"/>
      <c r="BN261" s="7"/>
    </row>
    <row r="262">
      <c r="AE262" s="14"/>
      <c r="AZ262" s="21"/>
      <c r="BA262" s="21"/>
      <c r="BB262" s="21"/>
      <c r="BC262" s="21"/>
      <c r="BD262" s="21"/>
      <c r="BE262" s="21"/>
      <c r="BF262" s="21"/>
      <c r="BG262" s="21"/>
      <c r="BI262" s="20"/>
      <c r="BJ262" s="20"/>
      <c r="BK262" s="20"/>
      <c r="BL262" s="20"/>
      <c r="BM262" s="7"/>
      <c r="BN262" s="7"/>
    </row>
    <row r="263">
      <c r="AE263" s="14"/>
      <c r="AZ263" s="21"/>
      <c r="BA263" s="21"/>
      <c r="BB263" s="21"/>
      <c r="BC263" s="21"/>
      <c r="BD263" s="21"/>
      <c r="BE263" s="21"/>
      <c r="BF263" s="21"/>
      <c r="BG263" s="21"/>
      <c r="BI263" s="20"/>
      <c r="BJ263" s="20"/>
      <c r="BK263" s="20"/>
      <c r="BL263" s="20"/>
      <c r="BM263" s="7"/>
      <c r="BN263" s="7"/>
    </row>
    <row r="264">
      <c r="AE264" s="14"/>
      <c r="AZ264" s="21"/>
      <c r="BA264" s="21"/>
      <c r="BB264" s="21"/>
      <c r="BC264" s="21"/>
      <c r="BD264" s="21"/>
      <c r="BE264" s="21"/>
      <c r="BF264" s="21"/>
      <c r="BG264" s="21"/>
      <c r="BI264" s="20"/>
      <c r="BJ264" s="20"/>
      <c r="BK264" s="20"/>
      <c r="BL264" s="20"/>
      <c r="BM264" s="7"/>
      <c r="BN264" s="7"/>
    </row>
    <row r="265">
      <c r="AE265" s="14"/>
      <c r="AZ265" s="21"/>
      <c r="BA265" s="21"/>
      <c r="BB265" s="21"/>
      <c r="BC265" s="21"/>
      <c r="BD265" s="21"/>
      <c r="BE265" s="21"/>
      <c r="BF265" s="21"/>
      <c r="BG265" s="21"/>
      <c r="BI265" s="20"/>
      <c r="BJ265" s="20"/>
      <c r="BK265" s="20"/>
      <c r="BL265" s="20"/>
      <c r="BM265" s="7"/>
      <c r="BN265" s="7"/>
    </row>
    <row r="266">
      <c r="AE266" s="14"/>
      <c r="AZ266" s="21"/>
      <c r="BA266" s="21"/>
      <c r="BB266" s="21"/>
      <c r="BC266" s="21"/>
      <c r="BD266" s="21"/>
      <c r="BE266" s="21"/>
      <c r="BF266" s="21"/>
      <c r="BG266" s="21"/>
      <c r="BI266" s="20"/>
      <c r="BJ266" s="20"/>
      <c r="BK266" s="20"/>
      <c r="BL266" s="20"/>
      <c r="BM266" s="7"/>
      <c r="BN266" s="7"/>
    </row>
    <row r="267">
      <c r="AE267" s="14"/>
      <c r="AZ267" s="21"/>
      <c r="BA267" s="21"/>
      <c r="BB267" s="21"/>
      <c r="BC267" s="21"/>
      <c r="BD267" s="21"/>
      <c r="BE267" s="21"/>
      <c r="BF267" s="21"/>
      <c r="BG267" s="21"/>
      <c r="BI267" s="20"/>
      <c r="BJ267" s="20"/>
      <c r="BK267" s="20"/>
      <c r="BL267" s="20"/>
      <c r="BM267" s="7"/>
      <c r="BN267" s="7"/>
    </row>
    <row r="268">
      <c r="AE268" s="14"/>
      <c r="AZ268" s="21"/>
      <c r="BA268" s="21"/>
      <c r="BB268" s="21"/>
      <c r="BC268" s="21"/>
      <c r="BD268" s="21"/>
      <c r="BE268" s="21"/>
      <c r="BF268" s="21"/>
      <c r="BG268" s="21"/>
      <c r="BI268" s="20"/>
      <c r="BJ268" s="20"/>
      <c r="BK268" s="20"/>
      <c r="BL268" s="20"/>
      <c r="BM268" s="7"/>
      <c r="BN268" s="7"/>
    </row>
    <row r="269">
      <c r="AE269" s="14"/>
      <c r="AZ269" s="21"/>
      <c r="BA269" s="21"/>
      <c r="BB269" s="21"/>
      <c r="BC269" s="21"/>
      <c r="BD269" s="21"/>
      <c r="BE269" s="21"/>
      <c r="BF269" s="21"/>
      <c r="BG269" s="21"/>
      <c r="BI269" s="20"/>
      <c r="BJ269" s="20"/>
      <c r="BK269" s="20"/>
      <c r="BL269" s="20"/>
      <c r="BM269" s="7"/>
      <c r="BN269" s="7"/>
    </row>
    <row r="270">
      <c r="AE270" s="14"/>
      <c r="AZ270" s="21"/>
      <c r="BA270" s="21"/>
      <c r="BB270" s="21"/>
      <c r="BC270" s="21"/>
      <c r="BD270" s="21"/>
      <c r="BE270" s="21"/>
      <c r="BF270" s="21"/>
      <c r="BG270" s="21"/>
      <c r="BI270" s="20"/>
      <c r="BJ270" s="20"/>
      <c r="BK270" s="20"/>
      <c r="BL270" s="20"/>
      <c r="BM270" s="7"/>
      <c r="BN270" s="7"/>
    </row>
    <row r="271">
      <c r="AE271" s="14"/>
      <c r="AZ271" s="21"/>
      <c r="BA271" s="21"/>
      <c r="BB271" s="21"/>
      <c r="BC271" s="21"/>
      <c r="BD271" s="21"/>
      <c r="BE271" s="21"/>
      <c r="BF271" s="21"/>
      <c r="BG271" s="21"/>
      <c r="BI271" s="20"/>
      <c r="BJ271" s="20"/>
      <c r="BK271" s="20"/>
      <c r="BL271" s="20"/>
      <c r="BM271" s="7"/>
      <c r="BN271" s="7"/>
    </row>
    <row r="272">
      <c r="AE272" s="14"/>
      <c r="AZ272" s="21"/>
      <c r="BA272" s="21"/>
      <c r="BB272" s="21"/>
      <c r="BC272" s="21"/>
      <c r="BD272" s="21"/>
      <c r="BE272" s="21"/>
      <c r="BF272" s="21"/>
      <c r="BG272" s="21"/>
      <c r="BI272" s="20"/>
      <c r="BJ272" s="20"/>
      <c r="BK272" s="20"/>
      <c r="BL272" s="20"/>
      <c r="BM272" s="7"/>
      <c r="BN272" s="7"/>
    </row>
    <row r="273">
      <c r="AE273" s="14"/>
      <c r="AZ273" s="21"/>
      <c r="BA273" s="21"/>
      <c r="BB273" s="21"/>
      <c r="BC273" s="21"/>
      <c r="BD273" s="21"/>
      <c r="BE273" s="21"/>
      <c r="BF273" s="21"/>
      <c r="BG273" s="21"/>
      <c r="BI273" s="20"/>
      <c r="BJ273" s="20"/>
      <c r="BK273" s="20"/>
      <c r="BL273" s="20"/>
      <c r="BM273" s="7"/>
      <c r="BN273" s="7"/>
    </row>
    <row r="274">
      <c r="AE274" s="14"/>
      <c r="AZ274" s="21"/>
      <c r="BA274" s="21"/>
      <c r="BB274" s="21"/>
      <c r="BC274" s="21"/>
      <c r="BD274" s="21"/>
      <c r="BE274" s="21"/>
      <c r="BF274" s="21"/>
      <c r="BG274" s="21"/>
      <c r="BI274" s="20"/>
      <c r="BJ274" s="20"/>
      <c r="BK274" s="20"/>
      <c r="BL274" s="20"/>
      <c r="BM274" s="7"/>
      <c r="BN274" s="7"/>
    </row>
    <row r="275">
      <c r="AE275" s="14"/>
      <c r="AZ275" s="21"/>
      <c r="BA275" s="21"/>
      <c r="BB275" s="21"/>
      <c r="BC275" s="21"/>
      <c r="BD275" s="21"/>
      <c r="BE275" s="21"/>
      <c r="BF275" s="21"/>
      <c r="BG275" s="21"/>
      <c r="BI275" s="20"/>
      <c r="BJ275" s="20"/>
      <c r="BK275" s="20"/>
      <c r="BL275" s="20"/>
      <c r="BM275" s="7"/>
      <c r="BN275" s="7"/>
    </row>
    <row r="276">
      <c r="AE276" s="14"/>
      <c r="AZ276" s="21"/>
      <c r="BA276" s="21"/>
      <c r="BB276" s="21"/>
      <c r="BC276" s="21"/>
      <c r="BD276" s="21"/>
      <c r="BE276" s="21"/>
      <c r="BF276" s="21"/>
      <c r="BG276" s="21"/>
      <c r="BI276" s="20"/>
      <c r="BJ276" s="20"/>
      <c r="BK276" s="20"/>
      <c r="BL276" s="20"/>
      <c r="BM276" s="7"/>
      <c r="BN276" s="7"/>
    </row>
    <row r="277">
      <c r="AE277" s="14"/>
      <c r="AZ277" s="21"/>
      <c r="BA277" s="21"/>
      <c r="BB277" s="21"/>
      <c r="BC277" s="21"/>
      <c r="BD277" s="21"/>
      <c r="BE277" s="21"/>
      <c r="BF277" s="21"/>
      <c r="BG277" s="21"/>
      <c r="BI277" s="20"/>
      <c r="BJ277" s="20"/>
      <c r="BK277" s="20"/>
      <c r="BL277" s="20"/>
      <c r="BM277" s="7"/>
      <c r="BN277" s="7"/>
    </row>
    <row r="278">
      <c r="AE278" s="14"/>
      <c r="AZ278" s="21"/>
      <c r="BA278" s="21"/>
      <c r="BB278" s="21"/>
      <c r="BC278" s="21"/>
      <c r="BD278" s="21"/>
      <c r="BE278" s="21"/>
      <c r="BF278" s="21"/>
      <c r="BG278" s="21"/>
      <c r="BI278" s="20"/>
      <c r="BJ278" s="20"/>
      <c r="BK278" s="20"/>
      <c r="BL278" s="20"/>
      <c r="BM278" s="7"/>
      <c r="BN278" s="7"/>
    </row>
    <row r="279">
      <c r="AE279" s="14"/>
      <c r="AZ279" s="21"/>
      <c r="BA279" s="21"/>
      <c r="BB279" s="21"/>
      <c r="BC279" s="21"/>
      <c r="BD279" s="21"/>
      <c r="BE279" s="21"/>
      <c r="BF279" s="21"/>
      <c r="BG279" s="21"/>
      <c r="BI279" s="20"/>
      <c r="BJ279" s="20"/>
      <c r="BK279" s="20"/>
      <c r="BL279" s="20"/>
      <c r="BM279" s="7"/>
      <c r="BN279" s="7"/>
    </row>
    <row r="280">
      <c r="AE280" s="14"/>
      <c r="AZ280" s="21"/>
      <c r="BA280" s="21"/>
      <c r="BB280" s="21"/>
      <c r="BC280" s="21"/>
      <c r="BD280" s="21"/>
      <c r="BE280" s="21"/>
      <c r="BF280" s="21"/>
      <c r="BG280" s="21"/>
      <c r="BI280" s="20"/>
      <c r="BJ280" s="20"/>
      <c r="BK280" s="20"/>
      <c r="BL280" s="20"/>
      <c r="BM280" s="7"/>
      <c r="BN280" s="7"/>
    </row>
    <row r="281">
      <c r="AE281" s="14"/>
      <c r="AZ281" s="21"/>
      <c r="BA281" s="21"/>
      <c r="BB281" s="21"/>
      <c r="BC281" s="21"/>
      <c r="BD281" s="21"/>
      <c r="BE281" s="21"/>
      <c r="BF281" s="21"/>
      <c r="BG281" s="21"/>
      <c r="BI281" s="20"/>
      <c r="BJ281" s="20"/>
      <c r="BK281" s="20"/>
      <c r="BL281" s="20"/>
      <c r="BM281" s="7"/>
      <c r="BN281" s="7"/>
    </row>
    <row r="282">
      <c r="AE282" s="14"/>
      <c r="AZ282" s="21"/>
      <c r="BA282" s="21"/>
      <c r="BB282" s="21"/>
      <c r="BC282" s="21"/>
      <c r="BD282" s="21"/>
      <c r="BE282" s="21"/>
      <c r="BF282" s="21"/>
      <c r="BG282" s="21"/>
      <c r="BI282" s="20"/>
      <c r="BJ282" s="20"/>
      <c r="BK282" s="20"/>
      <c r="BL282" s="20"/>
      <c r="BM282" s="7"/>
      <c r="BN282" s="7"/>
    </row>
    <row r="283">
      <c r="AE283" s="14"/>
      <c r="AZ283" s="21"/>
      <c r="BA283" s="21"/>
      <c r="BB283" s="21"/>
      <c r="BC283" s="21"/>
      <c r="BD283" s="21"/>
      <c r="BE283" s="21"/>
      <c r="BF283" s="21"/>
      <c r="BG283" s="21"/>
      <c r="BI283" s="20"/>
      <c r="BJ283" s="20"/>
      <c r="BK283" s="20"/>
      <c r="BL283" s="20"/>
      <c r="BM283" s="7"/>
      <c r="BN283" s="7"/>
    </row>
    <row r="284">
      <c r="AE284" s="14"/>
      <c r="AZ284" s="21"/>
      <c r="BA284" s="21"/>
      <c r="BB284" s="21"/>
      <c r="BC284" s="21"/>
      <c r="BD284" s="21"/>
      <c r="BE284" s="21"/>
      <c r="BF284" s="21"/>
      <c r="BG284" s="21"/>
      <c r="BI284" s="20"/>
      <c r="BJ284" s="20"/>
      <c r="BK284" s="20"/>
      <c r="BL284" s="20"/>
      <c r="BM284" s="7"/>
      <c r="BN284" s="7"/>
    </row>
    <row r="285">
      <c r="AE285" s="14"/>
      <c r="AZ285" s="21"/>
      <c r="BA285" s="21"/>
      <c r="BB285" s="21"/>
      <c r="BC285" s="21"/>
      <c r="BD285" s="21"/>
      <c r="BE285" s="21"/>
      <c r="BF285" s="21"/>
      <c r="BG285" s="21"/>
      <c r="BI285" s="20"/>
      <c r="BJ285" s="20"/>
      <c r="BK285" s="20"/>
      <c r="BL285" s="20"/>
      <c r="BM285" s="7"/>
      <c r="BN285" s="7"/>
    </row>
    <row r="286">
      <c r="AE286" s="14"/>
      <c r="AZ286" s="21"/>
      <c r="BA286" s="21"/>
      <c r="BB286" s="21"/>
      <c r="BC286" s="21"/>
      <c r="BD286" s="21"/>
      <c r="BE286" s="21"/>
      <c r="BF286" s="21"/>
      <c r="BG286" s="21"/>
      <c r="BI286" s="20"/>
      <c r="BJ286" s="20"/>
      <c r="BK286" s="20"/>
      <c r="BL286" s="20"/>
      <c r="BM286" s="7"/>
      <c r="BN286" s="7"/>
    </row>
    <row r="287">
      <c r="AE287" s="14"/>
      <c r="AZ287" s="21"/>
      <c r="BA287" s="21"/>
      <c r="BB287" s="21"/>
      <c r="BC287" s="21"/>
      <c r="BD287" s="21"/>
      <c r="BE287" s="21"/>
      <c r="BF287" s="21"/>
      <c r="BG287" s="21"/>
      <c r="BI287" s="20"/>
      <c r="BJ287" s="20"/>
      <c r="BK287" s="20"/>
      <c r="BL287" s="20"/>
      <c r="BM287" s="7"/>
      <c r="BN287" s="7"/>
    </row>
    <row r="288">
      <c r="AE288" s="14"/>
      <c r="AZ288" s="21"/>
      <c r="BA288" s="21"/>
      <c r="BB288" s="21"/>
      <c r="BC288" s="21"/>
      <c r="BD288" s="21"/>
      <c r="BE288" s="21"/>
      <c r="BF288" s="21"/>
      <c r="BG288" s="21"/>
      <c r="BI288" s="20"/>
      <c r="BJ288" s="20"/>
      <c r="BK288" s="20"/>
      <c r="BL288" s="20"/>
      <c r="BM288" s="7"/>
      <c r="BN288" s="7"/>
    </row>
    <row r="289">
      <c r="AE289" s="14"/>
      <c r="AZ289" s="21"/>
      <c r="BA289" s="21"/>
      <c r="BB289" s="21"/>
      <c r="BC289" s="21"/>
      <c r="BD289" s="21"/>
      <c r="BE289" s="21"/>
      <c r="BF289" s="21"/>
      <c r="BG289" s="21"/>
      <c r="BI289" s="20"/>
      <c r="BJ289" s="20"/>
      <c r="BK289" s="20"/>
      <c r="BL289" s="20"/>
      <c r="BM289" s="7"/>
      <c r="BN289" s="7"/>
    </row>
    <row r="290">
      <c r="AE290" s="14"/>
      <c r="AZ290" s="21"/>
      <c r="BA290" s="21"/>
      <c r="BB290" s="21"/>
      <c r="BC290" s="21"/>
      <c r="BD290" s="21"/>
      <c r="BE290" s="21"/>
      <c r="BF290" s="21"/>
      <c r="BG290" s="21"/>
      <c r="BI290" s="20"/>
      <c r="BJ290" s="20"/>
      <c r="BK290" s="20"/>
      <c r="BL290" s="20"/>
      <c r="BM290" s="7"/>
      <c r="BN290" s="7"/>
    </row>
    <row r="291">
      <c r="AE291" s="14"/>
      <c r="AZ291" s="21"/>
      <c r="BA291" s="21"/>
      <c r="BB291" s="21"/>
      <c r="BC291" s="21"/>
      <c r="BD291" s="21"/>
      <c r="BE291" s="21"/>
      <c r="BF291" s="21"/>
      <c r="BG291" s="21"/>
      <c r="BI291" s="20"/>
      <c r="BJ291" s="20"/>
      <c r="BK291" s="20"/>
      <c r="BL291" s="20"/>
      <c r="BM291" s="7"/>
      <c r="BN291" s="7"/>
    </row>
    <row r="292">
      <c r="AE292" s="14"/>
      <c r="AZ292" s="21"/>
      <c r="BA292" s="21"/>
      <c r="BB292" s="21"/>
      <c r="BC292" s="21"/>
      <c r="BD292" s="21"/>
      <c r="BE292" s="21"/>
      <c r="BF292" s="21"/>
      <c r="BG292" s="21"/>
      <c r="BI292" s="20"/>
      <c r="BJ292" s="20"/>
      <c r="BK292" s="20"/>
      <c r="BL292" s="20"/>
      <c r="BM292" s="7"/>
      <c r="BN292" s="7"/>
    </row>
    <row r="293">
      <c r="AE293" s="14"/>
      <c r="AZ293" s="21"/>
      <c r="BA293" s="21"/>
      <c r="BB293" s="21"/>
      <c r="BC293" s="21"/>
      <c r="BD293" s="21"/>
      <c r="BE293" s="21"/>
      <c r="BF293" s="21"/>
      <c r="BG293" s="21"/>
      <c r="BI293" s="20"/>
      <c r="BJ293" s="20"/>
      <c r="BK293" s="20"/>
      <c r="BL293" s="20"/>
      <c r="BM293" s="7"/>
      <c r="BN293" s="7"/>
    </row>
    <row r="294">
      <c r="AE294" s="14"/>
      <c r="AZ294" s="21"/>
      <c r="BA294" s="21"/>
      <c r="BB294" s="21"/>
      <c r="BC294" s="21"/>
      <c r="BD294" s="21"/>
      <c r="BE294" s="21"/>
      <c r="BF294" s="21"/>
      <c r="BG294" s="21"/>
      <c r="BI294" s="20"/>
      <c r="BJ294" s="20"/>
      <c r="BK294" s="20"/>
      <c r="BL294" s="20"/>
      <c r="BM294" s="7"/>
      <c r="BN294" s="7"/>
    </row>
    <row r="295">
      <c r="AE295" s="14"/>
      <c r="AZ295" s="21"/>
      <c r="BA295" s="21"/>
      <c r="BB295" s="21"/>
      <c r="BC295" s="21"/>
      <c r="BD295" s="21"/>
      <c r="BE295" s="21"/>
      <c r="BF295" s="21"/>
      <c r="BG295" s="21"/>
      <c r="BI295" s="20"/>
      <c r="BJ295" s="20"/>
      <c r="BK295" s="20"/>
      <c r="BL295" s="20"/>
      <c r="BM295" s="7"/>
      <c r="BN295" s="7"/>
    </row>
    <row r="296">
      <c r="AE296" s="14"/>
      <c r="AZ296" s="21"/>
      <c r="BA296" s="21"/>
      <c r="BB296" s="21"/>
      <c r="BC296" s="21"/>
      <c r="BD296" s="21"/>
      <c r="BE296" s="21"/>
      <c r="BF296" s="21"/>
      <c r="BG296" s="21"/>
      <c r="BI296" s="20"/>
      <c r="BJ296" s="20"/>
      <c r="BK296" s="20"/>
      <c r="BL296" s="20"/>
      <c r="BM296" s="7"/>
      <c r="BN296" s="7"/>
    </row>
    <row r="297">
      <c r="AE297" s="14"/>
      <c r="AZ297" s="21"/>
      <c r="BA297" s="21"/>
      <c r="BB297" s="21"/>
      <c r="BC297" s="21"/>
      <c r="BD297" s="21"/>
      <c r="BE297" s="21"/>
      <c r="BF297" s="21"/>
      <c r="BG297" s="21"/>
      <c r="BI297" s="20"/>
      <c r="BJ297" s="20"/>
      <c r="BK297" s="20"/>
      <c r="BL297" s="20"/>
      <c r="BM297" s="7"/>
      <c r="BN297" s="7"/>
    </row>
    <row r="298">
      <c r="AE298" s="14"/>
      <c r="AZ298" s="21"/>
      <c r="BA298" s="21"/>
      <c r="BB298" s="21"/>
      <c r="BC298" s="21"/>
      <c r="BD298" s="21"/>
      <c r="BE298" s="21"/>
      <c r="BF298" s="21"/>
      <c r="BG298" s="21"/>
      <c r="BI298" s="20"/>
      <c r="BJ298" s="20"/>
      <c r="BK298" s="20"/>
      <c r="BL298" s="20"/>
      <c r="BM298" s="7"/>
      <c r="BN298" s="7"/>
    </row>
    <row r="299">
      <c r="AE299" s="14"/>
      <c r="AZ299" s="21"/>
      <c r="BA299" s="21"/>
      <c r="BB299" s="21"/>
      <c r="BC299" s="21"/>
      <c r="BD299" s="21"/>
      <c r="BE299" s="21"/>
      <c r="BF299" s="21"/>
      <c r="BG299" s="21"/>
      <c r="BI299" s="20"/>
      <c r="BJ299" s="20"/>
      <c r="BK299" s="20"/>
      <c r="BL299" s="20"/>
      <c r="BM299" s="7"/>
      <c r="BN299" s="7"/>
    </row>
    <row r="300">
      <c r="AE300" s="14"/>
      <c r="AZ300" s="21"/>
      <c r="BA300" s="21"/>
      <c r="BB300" s="21"/>
      <c r="BC300" s="21"/>
      <c r="BD300" s="21"/>
      <c r="BE300" s="21"/>
      <c r="BF300" s="21"/>
      <c r="BG300" s="21"/>
      <c r="BI300" s="20"/>
      <c r="BJ300" s="20"/>
      <c r="BK300" s="20"/>
      <c r="BL300" s="20"/>
      <c r="BM300" s="7"/>
      <c r="BN300" s="7"/>
    </row>
    <row r="301">
      <c r="AE301" s="14"/>
      <c r="AZ301" s="21"/>
      <c r="BA301" s="21"/>
      <c r="BB301" s="21"/>
      <c r="BC301" s="21"/>
      <c r="BD301" s="21"/>
      <c r="BE301" s="21"/>
      <c r="BF301" s="21"/>
      <c r="BG301" s="21"/>
      <c r="BI301" s="20"/>
      <c r="BJ301" s="20"/>
      <c r="BK301" s="20"/>
      <c r="BL301" s="20"/>
      <c r="BM301" s="7"/>
      <c r="BN301" s="7"/>
    </row>
    <row r="302">
      <c r="AE302" s="14"/>
      <c r="AZ302" s="21"/>
      <c r="BA302" s="21"/>
      <c r="BB302" s="21"/>
      <c r="BC302" s="21"/>
      <c r="BD302" s="21"/>
      <c r="BE302" s="21"/>
      <c r="BF302" s="21"/>
      <c r="BG302" s="21"/>
      <c r="BI302" s="20"/>
      <c r="BJ302" s="20"/>
      <c r="BK302" s="20"/>
      <c r="BL302" s="20"/>
      <c r="BM302" s="7"/>
      <c r="BN302" s="7"/>
    </row>
    <row r="303">
      <c r="AE303" s="14"/>
      <c r="AZ303" s="21"/>
      <c r="BA303" s="21"/>
      <c r="BB303" s="21"/>
      <c r="BC303" s="21"/>
      <c r="BD303" s="21"/>
      <c r="BE303" s="21"/>
      <c r="BF303" s="21"/>
      <c r="BG303" s="21"/>
      <c r="BI303" s="20"/>
      <c r="BJ303" s="20"/>
      <c r="BK303" s="20"/>
      <c r="BL303" s="20"/>
      <c r="BM303" s="7"/>
      <c r="BN303" s="7"/>
    </row>
    <row r="304">
      <c r="AE304" s="14"/>
      <c r="AZ304" s="21"/>
      <c r="BA304" s="21"/>
      <c r="BB304" s="21"/>
      <c r="BC304" s="21"/>
      <c r="BD304" s="21"/>
      <c r="BE304" s="21"/>
      <c r="BF304" s="21"/>
      <c r="BG304" s="21"/>
      <c r="BI304" s="20"/>
      <c r="BJ304" s="20"/>
      <c r="BK304" s="20"/>
      <c r="BL304" s="20"/>
      <c r="BM304" s="7"/>
      <c r="BN304" s="7"/>
    </row>
    <row r="305">
      <c r="AE305" s="14"/>
      <c r="AZ305" s="21"/>
      <c r="BA305" s="21"/>
      <c r="BB305" s="21"/>
      <c r="BC305" s="21"/>
      <c r="BD305" s="21"/>
      <c r="BE305" s="21"/>
      <c r="BF305" s="21"/>
      <c r="BG305" s="21"/>
      <c r="BI305" s="20"/>
      <c r="BJ305" s="20"/>
      <c r="BK305" s="20"/>
      <c r="BL305" s="20"/>
      <c r="BM305" s="7"/>
      <c r="BN305" s="7"/>
    </row>
    <row r="306">
      <c r="AE306" s="14"/>
      <c r="AZ306" s="21"/>
      <c r="BA306" s="21"/>
      <c r="BB306" s="21"/>
      <c r="BC306" s="21"/>
      <c r="BD306" s="21"/>
      <c r="BE306" s="21"/>
      <c r="BF306" s="21"/>
      <c r="BG306" s="21"/>
      <c r="BI306" s="20"/>
      <c r="BJ306" s="20"/>
      <c r="BK306" s="20"/>
      <c r="BL306" s="20"/>
      <c r="BM306" s="7"/>
      <c r="BN306" s="7"/>
    </row>
    <row r="307">
      <c r="AE307" s="14"/>
      <c r="AZ307" s="21"/>
      <c r="BA307" s="21"/>
      <c r="BB307" s="21"/>
      <c r="BC307" s="21"/>
      <c r="BD307" s="21"/>
      <c r="BE307" s="21"/>
      <c r="BF307" s="21"/>
      <c r="BG307" s="21"/>
      <c r="BI307" s="20"/>
      <c r="BJ307" s="20"/>
      <c r="BK307" s="20"/>
      <c r="BL307" s="20"/>
      <c r="BM307" s="7"/>
      <c r="BN307" s="7"/>
    </row>
    <row r="308">
      <c r="AE308" s="14"/>
      <c r="AZ308" s="21"/>
      <c r="BA308" s="21"/>
      <c r="BB308" s="21"/>
      <c r="BC308" s="21"/>
      <c r="BD308" s="21"/>
      <c r="BE308" s="21"/>
      <c r="BF308" s="21"/>
      <c r="BG308" s="21"/>
      <c r="BI308" s="20"/>
      <c r="BJ308" s="20"/>
      <c r="BK308" s="20"/>
      <c r="BL308" s="20"/>
      <c r="BM308" s="7"/>
      <c r="BN308" s="7"/>
    </row>
    <row r="309">
      <c r="AE309" s="14"/>
      <c r="AZ309" s="21"/>
      <c r="BA309" s="21"/>
      <c r="BB309" s="21"/>
      <c r="BC309" s="21"/>
      <c r="BD309" s="21"/>
      <c r="BE309" s="21"/>
      <c r="BF309" s="21"/>
      <c r="BG309" s="21"/>
      <c r="BI309" s="20"/>
      <c r="BJ309" s="20"/>
      <c r="BK309" s="20"/>
      <c r="BL309" s="20"/>
      <c r="BM309" s="7"/>
      <c r="BN309" s="7"/>
    </row>
    <row r="310">
      <c r="AE310" s="14"/>
      <c r="AZ310" s="21"/>
      <c r="BA310" s="21"/>
      <c r="BB310" s="21"/>
      <c r="BC310" s="21"/>
      <c r="BD310" s="21"/>
      <c r="BE310" s="21"/>
      <c r="BF310" s="21"/>
      <c r="BG310" s="21"/>
      <c r="BI310" s="20"/>
      <c r="BJ310" s="20"/>
      <c r="BK310" s="20"/>
      <c r="BL310" s="20"/>
      <c r="BM310" s="7"/>
      <c r="BN310" s="7"/>
    </row>
    <row r="311">
      <c r="AE311" s="14"/>
      <c r="AZ311" s="21"/>
      <c r="BA311" s="21"/>
      <c r="BB311" s="21"/>
      <c r="BC311" s="21"/>
      <c r="BD311" s="21"/>
      <c r="BE311" s="21"/>
      <c r="BF311" s="21"/>
      <c r="BG311" s="21"/>
      <c r="BI311" s="20"/>
      <c r="BJ311" s="20"/>
      <c r="BK311" s="20"/>
      <c r="BL311" s="20"/>
      <c r="BM311" s="7"/>
      <c r="BN311" s="7"/>
    </row>
    <row r="312">
      <c r="AE312" s="14"/>
      <c r="AZ312" s="21"/>
      <c r="BA312" s="21"/>
      <c r="BB312" s="21"/>
      <c r="BC312" s="21"/>
      <c r="BD312" s="21"/>
      <c r="BE312" s="21"/>
      <c r="BF312" s="21"/>
      <c r="BG312" s="21"/>
      <c r="BI312" s="20"/>
      <c r="BJ312" s="20"/>
      <c r="BK312" s="20"/>
      <c r="BL312" s="20"/>
      <c r="BM312" s="7"/>
      <c r="BN312" s="7"/>
    </row>
    <row r="313">
      <c r="AE313" s="14"/>
      <c r="AZ313" s="21"/>
      <c r="BA313" s="21"/>
      <c r="BB313" s="21"/>
      <c r="BC313" s="21"/>
      <c r="BD313" s="21"/>
      <c r="BE313" s="21"/>
      <c r="BF313" s="21"/>
      <c r="BG313" s="21"/>
      <c r="BI313" s="20"/>
      <c r="BJ313" s="20"/>
      <c r="BK313" s="20"/>
      <c r="BL313" s="20"/>
      <c r="BM313" s="7"/>
      <c r="BN313" s="7"/>
    </row>
    <row r="314">
      <c r="AE314" s="14"/>
      <c r="AZ314" s="21"/>
      <c r="BA314" s="21"/>
      <c r="BB314" s="21"/>
      <c r="BC314" s="21"/>
      <c r="BD314" s="21"/>
      <c r="BE314" s="21"/>
      <c r="BF314" s="21"/>
      <c r="BG314" s="21"/>
      <c r="BI314" s="20"/>
      <c r="BJ314" s="20"/>
      <c r="BK314" s="20"/>
      <c r="BL314" s="20"/>
      <c r="BM314" s="7"/>
      <c r="BN314" s="7"/>
    </row>
    <row r="315">
      <c r="AE315" s="14"/>
      <c r="AZ315" s="21"/>
      <c r="BA315" s="21"/>
      <c r="BB315" s="21"/>
      <c r="BC315" s="21"/>
      <c r="BD315" s="21"/>
      <c r="BE315" s="21"/>
      <c r="BF315" s="21"/>
      <c r="BG315" s="21"/>
      <c r="BI315" s="20"/>
      <c r="BJ315" s="20"/>
      <c r="BK315" s="20"/>
      <c r="BL315" s="20"/>
      <c r="BM315" s="7"/>
      <c r="BN315" s="7"/>
    </row>
    <row r="316">
      <c r="AE316" s="14"/>
      <c r="AZ316" s="21"/>
      <c r="BA316" s="21"/>
      <c r="BB316" s="21"/>
      <c r="BC316" s="21"/>
      <c r="BD316" s="21"/>
      <c r="BE316" s="21"/>
      <c r="BF316" s="21"/>
      <c r="BG316" s="21"/>
      <c r="BI316" s="20"/>
      <c r="BJ316" s="20"/>
      <c r="BK316" s="20"/>
      <c r="BL316" s="20"/>
      <c r="BM316" s="7"/>
      <c r="BN316" s="7"/>
    </row>
    <row r="317">
      <c r="AE317" s="14"/>
      <c r="AZ317" s="21"/>
      <c r="BA317" s="21"/>
      <c r="BB317" s="21"/>
      <c r="BC317" s="21"/>
      <c r="BD317" s="21"/>
      <c r="BE317" s="21"/>
      <c r="BF317" s="21"/>
      <c r="BG317" s="21"/>
      <c r="BI317" s="20"/>
      <c r="BJ317" s="20"/>
      <c r="BK317" s="20"/>
      <c r="BL317" s="20"/>
      <c r="BM317" s="7"/>
      <c r="BN317" s="7"/>
    </row>
    <row r="318">
      <c r="AE318" s="14"/>
      <c r="AZ318" s="21"/>
      <c r="BA318" s="21"/>
      <c r="BB318" s="21"/>
      <c r="BC318" s="21"/>
      <c r="BD318" s="21"/>
      <c r="BE318" s="21"/>
      <c r="BF318" s="21"/>
      <c r="BG318" s="21"/>
      <c r="BI318" s="20"/>
      <c r="BJ318" s="20"/>
      <c r="BK318" s="20"/>
      <c r="BL318" s="20"/>
      <c r="BM318" s="7"/>
      <c r="BN318" s="7"/>
    </row>
    <row r="319">
      <c r="AE319" s="14"/>
      <c r="AZ319" s="21"/>
      <c r="BA319" s="21"/>
      <c r="BB319" s="21"/>
      <c r="BC319" s="21"/>
      <c r="BD319" s="21"/>
      <c r="BE319" s="21"/>
      <c r="BF319" s="21"/>
      <c r="BG319" s="21"/>
      <c r="BI319" s="20"/>
      <c r="BJ319" s="20"/>
      <c r="BK319" s="20"/>
      <c r="BL319" s="20"/>
      <c r="BM319" s="7"/>
      <c r="BN319" s="7"/>
    </row>
    <row r="320">
      <c r="AE320" s="14"/>
      <c r="AZ320" s="21"/>
      <c r="BA320" s="21"/>
      <c r="BB320" s="21"/>
      <c r="BC320" s="21"/>
      <c r="BD320" s="21"/>
      <c r="BE320" s="21"/>
      <c r="BF320" s="21"/>
      <c r="BG320" s="21"/>
      <c r="BI320" s="20"/>
      <c r="BJ320" s="20"/>
      <c r="BK320" s="20"/>
      <c r="BL320" s="20"/>
      <c r="BM320" s="7"/>
      <c r="BN320" s="7"/>
    </row>
    <row r="321">
      <c r="AE321" s="14"/>
      <c r="AZ321" s="21"/>
      <c r="BA321" s="21"/>
      <c r="BB321" s="21"/>
      <c r="BC321" s="21"/>
      <c r="BD321" s="21"/>
      <c r="BE321" s="21"/>
      <c r="BF321" s="21"/>
      <c r="BG321" s="21"/>
      <c r="BI321" s="20"/>
      <c r="BJ321" s="20"/>
      <c r="BK321" s="20"/>
      <c r="BL321" s="20"/>
      <c r="BM321" s="7"/>
      <c r="BN321" s="7"/>
    </row>
    <row r="322">
      <c r="AE322" s="14"/>
      <c r="AZ322" s="21"/>
      <c r="BA322" s="21"/>
      <c r="BB322" s="21"/>
      <c r="BC322" s="21"/>
      <c r="BD322" s="21"/>
      <c r="BE322" s="21"/>
      <c r="BF322" s="21"/>
      <c r="BG322" s="21"/>
      <c r="BI322" s="20"/>
      <c r="BJ322" s="20"/>
      <c r="BK322" s="20"/>
      <c r="BL322" s="20"/>
      <c r="BM322" s="7"/>
      <c r="BN322" s="7"/>
    </row>
    <row r="323">
      <c r="AE323" s="14"/>
      <c r="AZ323" s="21"/>
      <c r="BA323" s="21"/>
      <c r="BB323" s="21"/>
      <c r="BC323" s="21"/>
      <c r="BD323" s="21"/>
      <c r="BE323" s="21"/>
      <c r="BF323" s="21"/>
      <c r="BG323" s="21"/>
      <c r="BI323" s="20"/>
      <c r="BJ323" s="20"/>
      <c r="BK323" s="20"/>
      <c r="BL323" s="20"/>
      <c r="BM323" s="7"/>
      <c r="BN323" s="7"/>
    </row>
    <row r="324">
      <c r="AE324" s="14"/>
      <c r="AZ324" s="21"/>
      <c r="BA324" s="21"/>
      <c r="BB324" s="21"/>
      <c r="BC324" s="21"/>
      <c r="BD324" s="21"/>
      <c r="BE324" s="21"/>
      <c r="BF324" s="21"/>
      <c r="BG324" s="21"/>
      <c r="BI324" s="20"/>
      <c r="BJ324" s="20"/>
      <c r="BK324" s="20"/>
      <c r="BL324" s="20"/>
      <c r="BM324" s="7"/>
      <c r="BN324" s="7"/>
    </row>
    <row r="325">
      <c r="AE325" s="14"/>
      <c r="AZ325" s="21"/>
      <c r="BA325" s="21"/>
      <c r="BB325" s="21"/>
      <c r="BC325" s="21"/>
      <c r="BD325" s="21"/>
      <c r="BE325" s="21"/>
      <c r="BF325" s="21"/>
      <c r="BG325" s="21"/>
      <c r="BI325" s="20"/>
      <c r="BJ325" s="20"/>
      <c r="BK325" s="20"/>
      <c r="BL325" s="20"/>
      <c r="BM325" s="7"/>
      <c r="BN325" s="7"/>
    </row>
    <row r="326">
      <c r="AE326" s="14"/>
      <c r="AZ326" s="21"/>
      <c r="BA326" s="21"/>
      <c r="BB326" s="21"/>
      <c r="BC326" s="21"/>
      <c r="BD326" s="21"/>
      <c r="BE326" s="21"/>
      <c r="BF326" s="21"/>
      <c r="BG326" s="21"/>
      <c r="BI326" s="20"/>
      <c r="BJ326" s="20"/>
      <c r="BK326" s="20"/>
      <c r="BL326" s="20"/>
      <c r="BM326" s="7"/>
      <c r="BN326" s="7"/>
    </row>
    <row r="327">
      <c r="AE327" s="14"/>
      <c r="AZ327" s="21"/>
      <c r="BA327" s="21"/>
      <c r="BB327" s="21"/>
      <c r="BC327" s="21"/>
      <c r="BD327" s="21"/>
      <c r="BE327" s="21"/>
      <c r="BF327" s="21"/>
      <c r="BG327" s="21"/>
      <c r="BI327" s="20"/>
      <c r="BJ327" s="20"/>
      <c r="BK327" s="20"/>
      <c r="BL327" s="20"/>
      <c r="BM327" s="7"/>
      <c r="BN327" s="7"/>
    </row>
    <row r="328">
      <c r="AE328" s="14"/>
      <c r="AZ328" s="21"/>
      <c r="BA328" s="21"/>
      <c r="BB328" s="21"/>
      <c r="BC328" s="21"/>
      <c r="BD328" s="21"/>
      <c r="BE328" s="21"/>
      <c r="BF328" s="21"/>
      <c r="BG328" s="21"/>
      <c r="BI328" s="20"/>
      <c r="BJ328" s="20"/>
      <c r="BK328" s="20"/>
      <c r="BL328" s="20"/>
      <c r="BM328" s="7"/>
      <c r="BN328" s="7"/>
    </row>
    <row r="329">
      <c r="AE329" s="14"/>
      <c r="AZ329" s="21"/>
      <c r="BA329" s="21"/>
      <c r="BB329" s="21"/>
      <c r="BC329" s="21"/>
      <c r="BD329" s="21"/>
      <c r="BE329" s="21"/>
      <c r="BF329" s="21"/>
      <c r="BG329" s="21"/>
      <c r="BI329" s="20"/>
      <c r="BJ329" s="20"/>
      <c r="BK329" s="20"/>
      <c r="BL329" s="20"/>
      <c r="BM329" s="7"/>
      <c r="BN329" s="7"/>
    </row>
    <row r="330">
      <c r="AE330" s="14"/>
      <c r="AZ330" s="21"/>
      <c r="BA330" s="21"/>
      <c r="BB330" s="21"/>
      <c r="BC330" s="21"/>
      <c r="BD330" s="21"/>
      <c r="BE330" s="21"/>
      <c r="BF330" s="21"/>
      <c r="BG330" s="21"/>
      <c r="BI330" s="20"/>
      <c r="BJ330" s="20"/>
      <c r="BK330" s="20"/>
      <c r="BL330" s="20"/>
      <c r="BM330" s="7"/>
      <c r="BN330" s="7"/>
    </row>
    <row r="331">
      <c r="AE331" s="14"/>
      <c r="AZ331" s="21"/>
      <c r="BA331" s="21"/>
      <c r="BB331" s="21"/>
      <c r="BC331" s="21"/>
      <c r="BD331" s="21"/>
      <c r="BE331" s="21"/>
      <c r="BF331" s="21"/>
      <c r="BG331" s="21"/>
      <c r="BI331" s="20"/>
      <c r="BJ331" s="20"/>
      <c r="BK331" s="20"/>
      <c r="BL331" s="20"/>
      <c r="BM331" s="7"/>
      <c r="BN331" s="7"/>
    </row>
    <row r="332">
      <c r="AE332" s="14"/>
      <c r="AZ332" s="21"/>
      <c r="BA332" s="21"/>
      <c r="BB332" s="21"/>
      <c r="BC332" s="21"/>
      <c r="BD332" s="21"/>
      <c r="BE332" s="21"/>
      <c r="BF332" s="21"/>
      <c r="BG332" s="21"/>
      <c r="BI332" s="20"/>
      <c r="BJ332" s="20"/>
      <c r="BK332" s="20"/>
      <c r="BL332" s="20"/>
      <c r="BM332" s="7"/>
      <c r="BN332" s="7"/>
    </row>
    <row r="333">
      <c r="AE333" s="14"/>
      <c r="AZ333" s="21"/>
      <c r="BA333" s="21"/>
      <c r="BB333" s="21"/>
      <c r="BC333" s="21"/>
      <c r="BD333" s="21"/>
      <c r="BE333" s="21"/>
      <c r="BF333" s="21"/>
      <c r="BG333" s="21"/>
      <c r="BI333" s="20"/>
      <c r="BJ333" s="20"/>
      <c r="BK333" s="20"/>
      <c r="BL333" s="20"/>
      <c r="BM333" s="7"/>
      <c r="BN333" s="7"/>
    </row>
    <row r="334">
      <c r="AE334" s="14"/>
      <c r="AZ334" s="21"/>
      <c r="BA334" s="21"/>
      <c r="BB334" s="21"/>
      <c r="BC334" s="21"/>
      <c r="BD334" s="21"/>
      <c r="BE334" s="21"/>
      <c r="BF334" s="21"/>
      <c r="BG334" s="21"/>
      <c r="BI334" s="20"/>
      <c r="BJ334" s="20"/>
      <c r="BK334" s="20"/>
      <c r="BL334" s="20"/>
      <c r="BM334" s="7"/>
      <c r="BN334" s="7"/>
    </row>
    <row r="335">
      <c r="AE335" s="14"/>
      <c r="AZ335" s="21"/>
      <c r="BA335" s="21"/>
      <c r="BB335" s="21"/>
      <c r="BC335" s="21"/>
      <c r="BD335" s="21"/>
      <c r="BE335" s="21"/>
      <c r="BF335" s="21"/>
      <c r="BG335" s="21"/>
      <c r="BI335" s="20"/>
      <c r="BJ335" s="20"/>
      <c r="BK335" s="20"/>
      <c r="BL335" s="20"/>
      <c r="BM335" s="7"/>
      <c r="BN335" s="7"/>
    </row>
    <row r="336">
      <c r="AE336" s="14"/>
      <c r="AZ336" s="21"/>
      <c r="BA336" s="21"/>
      <c r="BB336" s="21"/>
      <c r="BC336" s="21"/>
      <c r="BD336" s="21"/>
      <c r="BE336" s="21"/>
      <c r="BF336" s="21"/>
      <c r="BG336" s="21"/>
      <c r="BI336" s="20"/>
      <c r="BJ336" s="20"/>
      <c r="BK336" s="20"/>
      <c r="BL336" s="20"/>
      <c r="BM336" s="7"/>
      <c r="BN336" s="7"/>
    </row>
    <row r="337">
      <c r="AE337" s="14"/>
      <c r="AZ337" s="21"/>
      <c r="BA337" s="21"/>
      <c r="BB337" s="21"/>
      <c r="BC337" s="21"/>
      <c r="BD337" s="21"/>
      <c r="BE337" s="21"/>
      <c r="BF337" s="21"/>
      <c r="BG337" s="21"/>
      <c r="BI337" s="20"/>
      <c r="BJ337" s="20"/>
      <c r="BK337" s="20"/>
      <c r="BL337" s="20"/>
      <c r="BM337" s="7"/>
      <c r="BN337" s="7"/>
    </row>
    <row r="338">
      <c r="AE338" s="14"/>
      <c r="AZ338" s="21"/>
      <c r="BA338" s="21"/>
      <c r="BB338" s="21"/>
      <c r="BC338" s="21"/>
      <c r="BD338" s="21"/>
      <c r="BE338" s="21"/>
      <c r="BF338" s="21"/>
      <c r="BG338" s="21"/>
      <c r="BI338" s="20"/>
      <c r="BJ338" s="20"/>
      <c r="BK338" s="20"/>
      <c r="BL338" s="20"/>
      <c r="BM338" s="7"/>
      <c r="BN338" s="7"/>
    </row>
    <row r="339">
      <c r="AE339" s="14"/>
      <c r="AZ339" s="21"/>
      <c r="BA339" s="21"/>
      <c r="BB339" s="21"/>
      <c r="BC339" s="21"/>
      <c r="BD339" s="21"/>
      <c r="BE339" s="21"/>
      <c r="BF339" s="21"/>
      <c r="BG339" s="21"/>
      <c r="BI339" s="20"/>
      <c r="BJ339" s="20"/>
      <c r="BK339" s="20"/>
      <c r="BL339" s="20"/>
      <c r="BM339" s="7"/>
      <c r="BN339" s="7"/>
    </row>
    <row r="340">
      <c r="AE340" s="14"/>
      <c r="AZ340" s="21"/>
      <c r="BA340" s="21"/>
      <c r="BB340" s="21"/>
      <c r="BC340" s="21"/>
      <c r="BD340" s="21"/>
      <c r="BE340" s="21"/>
      <c r="BF340" s="21"/>
      <c r="BG340" s="21"/>
      <c r="BI340" s="20"/>
      <c r="BJ340" s="20"/>
      <c r="BK340" s="20"/>
      <c r="BL340" s="20"/>
      <c r="BM340" s="7"/>
      <c r="BN340" s="7"/>
    </row>
    <row r="341">
      <c r="AE341" s="14"/>
      <c r="AZ341" s="21"/>
      <c r="BA341" s="21"/>
      <c r="BB341" s="21"/>
      <c r="BC341" s="21"/>
      <c r="BD341" s="21"/>
      <c r="BE341" s="21"/>
      <c r="BF341" s="21"/>
      <c r="BG341" s="21"/>
      <c r="BI341" s="20"/>
      <c r="BJ341" s="20"/>
      <c r="BK341" s="20"/>
      <c r="BL341" s="20"/>
      <c r="BM341" s="7"/>
      <c r="BN341" s="7"/>
    </row>
    <row r="342">
      <c r="AE342" s="14"/>
      <c r="AZ342" s="21"/>
      <c r="BA342" s="21"/>
      <c r="BB342" s="21"/>
      <c r="BC342" s="21"/>
      <c r="BD342" s="21"/>
      <c r="BE342" s="21"/>
      <c r="BF342" s="21"/>
      <c r="BG342" s="21"/>
      <c r="BI342" s="20"/>
      <c r="BJ342" s="20"/>
      <c r="BK342" s="20"/>
      <c r="BL342" s="20"/>
      <c r="BM342" s="7"/>
      <c r="BN342" s="7"/>
    </row>
    <row r="343">
      <c r="AE343" s="14"/>
      <c r="AZ343" s="21"/>
      <c r="BA343" s="21"/>
      <c r="BB343" s="21"/>
      <c r="BC343" s="21"/>
      <c r="BD343" s="21"/>
      <c r="BE343" s="21"/>
      <c r="BF343" s="21"/>
      <c r="BG343" s="21"/>
      <c r="BI343" s="20"/>
      <c r="BJ343" s="20"/>
      <c r="BK343" s="20"/>
      <c r="BL343" s="20"/>
      <c r="BM343" s="7"/>
      <c r="BN343" s="7"/>
    </row>
    <row r="344">
      <c r="AE344" s="14"/>
      <c r="AZ344" s="21"/>
      <c r="BA344" s="21"/>
      <c r="BB344" s="21"/>
      <c r="BC344" s="21"/>
      <c r="BD344" s="21"/>
      <c r="BE344" s="21"/>
      <c r="BF344" s="21"/>
      <c r="BG344" s="21"/>
      <c r="BI344" s="20"/>
      <c r="BJ344" s="20"/>
      <c r="BK344" s="20"/>
      <c r="BL344" s="20"/>
      <c r="BM344" s="7"/>
      <c r="BN344" s="7"/>
    </row>
    <row r="345">
      <c r="AE345" s="14"/>
      <c r="AZ345" s="21"/>
      <c r="BA345" s="21"/>
      <c r="BB345" s="21"/>
      <c r="BC345" s="21"/>
      <c r="BD345" s="21"/>
      <c r="BE345" s="21"/>
      <c r="BF345" s="21"/>
      <c r="BG345" s="21"/>
      <c r="BI345" s="20"/>
      <c r="BJ345" s="20"/>
      <c r="BK345" s="20"/>
      <c r="BL345" s="20"/>
      <c r="BM345" s="7"/>
      <c r="BN345" s="7"/>
    </row>
    <row r="346">
      <c r="AE346" s="14"/>
      <c r="AZ346" s="21"/>
      <c r="BA346" s="21"/>
      <c r="BB346" s="21"/>
      <c r="BC346" s="21"/>
      <c r="BD346" s="21"/>
      <c r="BE346" s="21"/>
      <c r="BF346" s="21"/>
      <c r="BG346" s="21"/>
      <c r="BI346" s="20"/>
      <c r="BJ346" s="20"/>
      <c r="BK346" s="20"/>
      <c r="BL346" s="20"/>
      <c r="BM346" s="7"/>
      <c r="BN346" s="7"/>
    </row>
    <row r="347">
      <c r="AE347" s="14"/>
      <c r="AZ347" s="21"/>
      <c r="BA347" s="21"/>
      <c r="BB347" s="21"/>
      <c r="BC347" s="21"/>
      <c r="BD347" s="21"/>
      <c r="BE347" s="21"/>
      <c r="BF347" s="21"/>
      <c r="BG347" s="21"/>
      <c r="BI347" s="20"/>
      <c r="BJ347" s="20"/>
      <c r="BK347" s="20"/>
      <c r="BL347" s="20"/>
      <c r="BM347" s="7"/>
      <c r="BN347" s="7"/>
    </row>
    <row r="348">
      <c r="AE348" s="14"/>
      <c r="AZ348" s="21"/>
      <c r="BA348" s="21"/>
      <c r="BB348" s="21"/>
      <c r="BC348" s="21"/>
      <c r="BD348" s="21"/>
      <c r="BE348" s="21"/>
      <c r="BF348" s="21"/>
      <c r="BG348" s="21"/>
      <c r="BI348" s="20"/>
      <c r="BJ348" s="20"/>
      <c r="BK348" s="20"/>
      <c r="BL348" s="20"/>
      <c r="BM348" s="7"/>
      <c r="BN348" s="7"/>
    </row>
    <row r="349">
      <c r="AE349" s="14"/>
      <c r="AZ349" s="21"/>
      <c r="BA349" s="21"/>
      <c r="BB349" s="21"/>
      <c r="BC349" s="21"/>
      <c r="BD349" s="21"/>
      <c r="BE349" s="21"/>
      <c r="BF349" s="21"/>
      <c r="BG349" s="21"/>
      <c r="BI349" s="20"/>
      <c r="BJ349" s="20"/>
      <c r="BK349" s="20"/>
      <c r="BL349" s="20"/>
      <c r="BM349" s="7"/>
      <c r="BN349" s="7"/>
    </row>
    <row r="350">
      <c r="AE350" s="14"/>
      <c r="AZ350" s="21"/>
      <c r="BA350" s="21"/>
      <c r="BB350" s="21"/>
      <c r="BC350" s="21"/>
      <c r="BD350" s="21"/>
      <c r="BE350" s="21"/>
      <c r="BF350" s="21"/>
      <c r="BG350" s="21"/>
      <c r="BI350" s="20"/>
      <c r="BJ350" s="20"/>
      <c r="BK350" s="20"/>
      <c r="BL350" s="20"/>
      <c r="BM350" s="7"/>
      <c r="BN350" s="7"/>
    </row>
    <row r="351">
      <c r="AE351" s="14"/>
      <c r="AZ351" s="21"/>
      <c r="BA351" s="21"/>
      <c r="BB351" s="21"/>
      <c r="BC351" s="21"/>
      <c r="BD351" s="21"/>
      <c r="BE351" s="21"/>
      <c r="BF351" s="21"/>
      <c r="BG351" s="21"/>
      <c r="BI351" s="20"/>
      <c r="BJ351" s="20"/>
      <c r="BK351" s="20"/>
      <c r="BL351" s="20"/>
      <c r="BM351" s="7"/>
      <c r="BN351" s="7"/>
    </row>
    <row r="352">
      <c r="AE352" s="14"/>
      <c r="AZ352" s="21"/>
      <c r="BA352" s="21"/>
      <c r="BB352" s="21"/>
      <c r="BC352" s="21"/>
      <c r="BD352" s="21"/>
      <c r="BE352" s="21"/>
      <c r="BF352" s="21"/>
      <c r="BG352" s="21"/>
      <c r="BI352" s="20"/>
      <c r="BJ352" s="20"/>
      <c r="BK352" s="20"/>
      <c r="BL352" s="20"/>
      <c r="BM352" s="7"/>
      <c r="BN352" s="7"/>
    </row>
    <row r="353">
      <c r="AE353" s="14"/>
      <c r="AZ353" s="21"/>
      <c r="BA353" s="21"/>
      <c r="BB353" s="21"/>
      <c r="BC353" s="21"/>
      <c r="BD353" s="21"/>
      <c r="BE353" s="21"/>
      <c r="BF353" s="21"/>
      <c r="BG353" s="21"/>
      <c r="BI353" s="20"/>
      <c r="BJ353" s="20"/>
      <c r="BK353" s="20"/>
      <c r="BL353" s="20"/>
      <c r="BM353" s="7"/>
      <c r="BN353" s="7"/>
    </row>
    <row r="354">
      <c r="AE354" s="14"/>
      <c r="AZ354" s="21"/>
      <c r="BA354" s="21"/>
      <c r="BB354" s="21"/>
      <c r="BC354" s="21"/>
      <c r="BD354" s="21"/>
      <c r="BE354" s="21"/>
      <c r="BF354" s="21"/>
      <c r="BG354" s="21"/>
      <c r="BI354" s="20"/>
      <c r="BJ354" s="20"/>
      <c r="BK354" s="20"/>
      <c r="BL354" s="20"/>
      <c r="BM354" s="7"/>
      <c r="BN354" s="7"/>
    </row>
    <row r="355">
      <c r="AE355" s="14"/>
      <c r="AZ355" s="21"/>
      <c r="BA355" s="21"/>
      <c r="BB355" s="21"/>
      <c r="BC355" s="21"/>
      <c r="BD355" s="21"/>
      <c r="BE355" s="21"/>
      <c r="BF355" s="21"/>
      <c r="BG355" s="21"/>
      <c r="BI355" s="20"/>
      <c r="BJ355" s="20"/>
      <c r="BK355" s="20"/>
      <c r="BL355" s="20"/>
      <c r="BM355" s="7"/>
      <c r="BN355" s="7"/>
    </row>
    <row r="356">
      <c r="AE356" s="14"/>
      <c r="AZ356" s="21"/>
      <c r="BA356" s="21"/>
      <c r="BB356" s="21"/>
      <c r="BC356" s="21"/>
      <c r="BD356" s="21"/>
      <c r="BE356" s="21"/>
      <c r="BF356" s="21"/>
      <c r="BG356" s="21"/>
      <c r="BI356" s="20"/>
      <c r="BJ356" s="20"/>
      <c r="BK356" s="20"/>
      <c r="BL356" s="20"/>
      <c r="BM356" s="7"/>
      <c r="BN356" s="7"/>
    </row>
    <row r="357">
      <c r="AE357" s="14"/>
      <c r="AZ357" s="21"/>
      <c r="BA357" s="21"/>
      <c r="BB357" s="21"/>
      <c r="BC357" s="21"/>
      <c r="BD357" s="21"/>
      <c r="BE357" s="21"/>
      <c r="BF357" s="21"/>
      <c r="BG357" s="21"/>
      <c r="BI357" s="20"/>
      <c r="BJ357" s="20"/>
      <c r="BK357" s="20"/>
      <c r="BL357" s="20"/>
      <c r="BM357" s="7"/>
      <c r="BN357" s="7"/>
    </row>
    <row r="358">
      <c r="AE358" s="14"/>
      <c r="AZ358" s="21"/>
      <c r="BA358" s="21"/>
      <c r="BB358" s="21"/>
      <c r="BC358" s="21"/>
      <c r="BD358" s="21"/>
      <c r="BE358" s="21"/>
      <c r="BF358" s="21"/>
      <c r="BG358" s="21"/>
      <c r="BI358" s="20"/>
      <c r="BJ358" s="20"/>
      <c r="BK358" s="20"/>
      <c r="BL358" s="20"/>
      <c r="BM358" s="7"/>
      <c r="BN358" s="7"/>
    </row>
    <row r="359">
      <c r="AE359" s="14"/>
      <c r="AZ359" s="21"/>
      <c r="BA359" s="21"/>
      <c r="BB359" s="21"/>
      <c r="BC359" s="21"/>
      <c r="BD359" s="21"/>
      <c r="BE359" s="21"/>
      <c r="BF359" s="21"/>
      <c r="BG359" s="21"/>
      <c r="BI359" s="20"/>
      <c r="BJ359" s="20"/>
      <c r="BK359" s="20"/>
      <c r="BL359" s="20"/>
      <c r="BM359" s="7"/>
      <c r="BN359" s="7"/>
    </row>
    <row r="360">
      <c r="AE360" s="14"/>
      <c r="AZ360" s="21"/>
      <c r="BA360" s="21"/>
      <c r="BB360" s="21"/>
      <c r="BC360" s="21"/>
      <c r="BD360" s="21"/>
      <c r="BE360" s="21"/>
      <c r="BF360" s="21"/>
      <c r="BG360" s="21"/>
      <c r="BI360" s="20"/>
      <c r="BJ360" s="20"/>
      <c r="BK360" s="20"/>
      <c r="BL360" s="20"/>
      <c r="BM360" s="7"/>
      <c r="BN360" s="7"/>
    </row>
    <row r="361">
      <c r="AE361" s="14"/>
      <c r="AZ361" s="21"/>
      <c r="BA361" s="21"/>
      <c r="BB361" s="21"/>
      <c r="BC361" s="21"/>
      <c r="BD361" s="21"/>
      <c r="BE361" s="21"/>
      <c r="BF361" s="21"/>
      <c r="BG361" s="21"/>
      <c r="BI361" s="20"/>
      <c r="BJ361" s="20"/>
      <c r="BK361" s="20"/>
      <c r="BL361" s="20"/>
      <c r="BM361" s="7"/>
      <c r="BN361" s="7"/>
    </row>
    <row r="362">
      <c r="AE362" s="14"/>
      <c r="AZ362" s="21"/>
      <c r="BA362" s="21"/>
      <c r="BB362" s="21"/>
      <c r="BC362" s="21"/>
      <c r="BD362" s="21"/>
      <c r="BE362" s="21"/>
      <c r="BF362" s="21"/>
      <c r="BG362" s="21"/>
      <c r="BI362" s="20"/>
      <c r="BJ362" s="20"/>
      <c r="BK362" s="20"/>
      <c r="BL362" s="20"/>
      <c r="BM362" s="7"/>
      <c r="BN362" s="7"/>
    </row>
    <row r="363">
      <c r="AE363" s="14"/>
      <c r="AZ363" s="21"/>
      <c r="BA363" s="21"/>
      <c r="BB363" s="21"/>
      <c r="BC363" s="21"/>
      <c r="BD363" s="21"/>
      <c r="BE363" s="21"/>
      <c r="BF363" s="21"/>
      <c r="BG363" s="21"/>
      <c r="BI363" s="20"/>
      <c r="BJ363" s="20"/>
      <c r="BK363" s="20"/>
      <c r="BL363" s="20"/>
      <c r="BM363" s="7"/>
      <c r="BN363" s="7"/>
    </row>
    <row r="364">
      <c r="AE364" s="14"/>
      <c r="AZ364" s="21"/>
      <c r="BA364" s="21"/>
      <c r="BB364" s="21"/>
      <c r="BC364" s="21"/>
      <c r="BD364" s="21"/>
      <c r="BE364" s="21"/>
      <c r="BF364" s="21"/>
      <c r="BG364" s="21"/>
      <c r="BI364" s="20"/>
      <c r="BJ364" s="20"/>
      <c r="BK364" s="20"/>
      <c r="BL364" s="20"/>
      <c r="BM364" s="7"/>
      <c r="BN364" s="7"/>
    </row>
    <row r="365">
      <c r="AE365" s="14"/>
      <c r="AZ365" s="21"/>
      <c r="BA365" s="21"/>
      <c r="BB365" s="21"/>
      <c r="BC365" s="21"/>
      <c r="BD365" s="21"/>
      <c r="BE365" s="21"/>
      <c r="BF365" s="21"/>
      <c r="BG365" s="21"/>
      <c r="BI365" s="20"/>
      <c r="BJ365" s="20"/>
      <c r="BK365" s="20"/>
      <c r="BL365" s="20"/>
      <c r="BM365" s="7"/>
      <c r="BN365" s="7"/>
    </row>
    <row r="366">
      <c r="AE366" s="14"/>
      <c r="AZ366" s="21"/>
      <c r="BA366" s="21"/>
      <c r="BB366" s="21"/>
      <c r="BC366" s="21"/>
      <c r="BD366" s="21"/>
      <c r="BE366" s="21"/>
      <c r="BF366" s="21"/>
      <c r="BG366" s="21"/>
      <c r="BI366" s="20"/>
      <c r="BJ366" s="20"/>
      <c r="BK366" s="20"/>
      <c r="BL366" s="20"/>
      <c r="BM366" s="7"/>
      <c r="BN366" s="7"/>
    </row>
    <row r="367">
      <c r="AE367" s="14"/>
      <c r="AZ367" s="21"/>
      <c r="BA367" s="21"/>
      <c r="BB367" s="21"/>
      <c r="BC367" s="21"/>
      <c r="BD367" s="21"/>
      <c r="BE367" s="21"/>
      <c r="BF367" s="21"/>
      <c r="BG367" s="21"/>
      <c r="BI367" s="20"/>
      <c r="BJ367" s="20"/>
      <c r="BK367" s="20"/>
      <c r="BL367" s="20"/>
      <c r="BM367" s="7"/>
      <c r="BN367" s="7"/>
    </row>
    <row r="368">
      <c r="AE368" s="14"/>
      <c r="AZ368" s="21"/>
      <c r="BA368" s="21"/>
      <c r="BB368" s="21"/>
      <c r="BC368" s="21"/>
      <c r="BD368" s="21"/>
      <c r="BE368" s="21"/>
      <c r="BF368" s="21"/>
      <c r="BG368" s="21"/>
      <c r="BI368" s="20"/>
      <c r="BJ368" s="20"/>
      <c r="BK368" s="20"/>
      <c r="BL368" s="20"/>
      <c r="BM368" s="7"/>
      <c r="BN368" s="7"/>
    </row>
    <row r="369">
      <c r="AE369" s="14"/>
      <c r="AZ369" s="21"/>
      <c r="BA369" s="21"/>
      <c r="BB369" s="21"/>
      <c r="BC369" s="21"/>
      <c r="BD369" s="21"/>
      <c r="BE369" s="21"/>
      <c r="BF369" s="21"/>
      <c r="BG369" s="21"/>
      <c r="BI369" s="20"/>
      <c r="BJ369" s="20"/>
      <c r="BK369" s="20"/>
      <c r="BL369" s="20"/>
      <c r="BM369" s="7"/>
      <c r="BN369" s="7"/>
    </row>
    <row r="370">
      <c r="AE370" s="14"/>
      <c r="AZ370" s="21"/>
      <c r="BA370" s="21"/>
      <c r="BB370" s="21"/>
      <c r="BC370" s="21"/>
      <c r="BD370" s="21"/>
      <c r="BE370" s="21"/>
      <c r="BF370" s="21"/>
      <c r="BG370" s="21"/>
      <c r="BI370" s="20"/>
      <c r="BJ370" s="20"/>
      <c r="BK370" s="20"/>
      <c r="BL370" s="20"/>
      <c r="BM370" s="7"/>
      <c r="BN370" s="7"/>
    </row>
    <row r="371">
      <c r="AE371" s="14"/>
      <c r="AZ371" s="21"/>
      <c r="BA371" s="21"/>
      <c r="BB371" s="21"/>
      <c r="BC371" s="21"/>
      <c r="BD371" s="21"/>
      <c r="BE371" s="21"/>
      <c r="BF371" s="21"/>
      <c r="BG371" s="21"/>
      <c r="BI371" s="20"/>
      <c r="BJ371" s="20"/>
      <c r="BK371" s="20"/>
      <c r="BL371" s="20"/>
      <c r="BM371" s="7"/>
      <c r="BN371" s="7"/>
    </row>
    <row r="372">
      <c r="AE372" s="14"/>
      <c r="AZ372" s="21"/>
      <c r="BA372" s="21"/>
      <c r="BB372" s="21"/>
      <c r="BC372" s="21"/>
      <c r="BD372" s="21"/>
      <c r="BE372" s="21"/>
      <c r="BF372" s="21"/>
      <c r="BG372" s="21"/>
      <c r="BI372" s="20"/>
      <c r="BJ372" s="20"/>
      <c r="BK372" s="20"/>
      <c r="BL372" s="20"/>
      <c r="BM372" s="7"/>
      <c r="BN372" s="7"/>
    </row>
    <row r="373">
      <c r="AE373" s="14"/>
      <c r="AZ373" s="21"/>
      <c r="BA373" s="21"/>
      <c r="BB373" s="21"/>
      <c r="BC373" s="21"/>
      <c r="BD373" s="21"/>
      <c r="BE373" s="21"/>
      <c r="BF373" s="21"/>
      <c r="BG373" s="21"/>
      <c r="BI373" s="20"/>
      <c r="BJ373" s="20"/>
      <c r="BK373" s="20"/>
      <c r="BL373" s="20"/>
      <c r="BM373" s="7"/>
      <c r="BN373" s="7"/>
    </row>
    <row r="374">
      <c r="AE374" s="14"/>
      <c r="AZ374" s="21"/>
      <c r="BA374" s="21"/>
      <c r="BB374" s="21"/>
      <c r="BC374" s="21"/>
      <c r="BD374" s="21"/>
      <c r="BE374" s="21"/>
      <c r="BF374" s="21"/>
      <c r="BG374" s="21"/>
      <c r="BI374" s="20"/>
      <c r="BJ374" s="20"/>
      <c r="BK374" s="20"/>
      <c r="BL374" s="20"/>
      <c r="BM374" s="7"/>
      <c r="BN374" s="7"/>
    </row>
    <row r="375">
      <c r="AE375" s="14"/>
      <c r="AZ375" s="21"/>
      <c r="BA375" s="21"/>
      <c r="BB375" s="21"/>
      <c r="BC375" s="21"/>
      <c r="BD375" s="21"/>
      <c r="BE375" s="21"/>
      <c r="BF375" s="21"/>
      <c r="BG375" s="21"/>
      <c r="BI375" s="20"/>
      <c r="BJ375" s="20"/>
      <c r="BK375" s="20"/>
      <c r="BL375" s="20"/>
      <c r="BM375" s="7"/>
      <c r="BN375" s="7"/>
    </row>
    <row r="376">
      <c r="AE376" s="14"/>
      <c r="AZ376" s="21"/>
      <c r="BA376" s="21"/>
      <c r="BB376" s="21"/>
      <c r="BC376" s="21"/>
      <c r="BD376" s="21"/>
      <c r="BE376" s="21"/>
      <c r="BF376" s="21"/>
      <c r="BG376" s="21"/>
      <c r="BI376" s="20"/>
      <c r="BJ376" s="20"/>
      <c r="BK376" s="20"/>
      <c r="BL376" s="20"/>
      <c r="BM376" s="7"/>
      <c r="BN376" s="7"/>
    </row>
    <row r="377">
      <c r="AE377" s="14"/>
      <c r="AZ377" s="21"/>
      <c r="BA377" s="21"/>
      <c r="BB377" s="21"/>
      <c r="BC377" s="21"/>
      <c r="BD377" s="21"/>
      <c r="BE377" s="21"/>
      <c r="BF377" s="21"/>
      <c r="BG377" s="21"/>
      <c r="BI377" s="20"/>
      <c r="BJ377" s="20"/>
      <c r="BK377" s="20"/>
      <c r="BL377" s="20"/>
      <c r="BM377" s="7"/>
      <c r="BN377" s="7"/>
    </row>
    <row r="378">
      <c r="AE378" s="14"/>
      <c r="AZ378" s="21"/>
      <c r="BA378" s="21"/>
      <c r="BB378" s="21"/>
      <c r="BC378" s="21"/>
      <c r="BD378" s="21"/>
      <c r="BE378" s="21"/>
      <c r="BF378" s="21"/>
      <c r="BG378" s="21"/>
      <c r="BI378" s="20"/>
      <c r="BJ378" s="20"/>
      <c r="BK378" s="20"/>
      <c r="BL378" s="20"/>
      <c r="BM378" s="7"/>
      <c r="BN378" s="7"/>
    </row>
    <row r="379">
      <c r="AE379" s="14"/>
      <c r="AZ379" s="21"/>
      <c r="BA379" s="21"/>
      <c r="BB379" s="21"/>
      <c r="BC379" s="21"/>
      <c r="BD379" s="21"/>
      <c r="BE379" s="21"/>
      <c r="BF379" s="21"/>
      <c r="BG379" s="21"/>
      <c r="BI379" s="20"/>
      <c r="BJ379" s="20"/>
      <c r="BK379" s="20"/>
      <c r="BL379" s="20"/>
      <c r="BM379" s="7"/>
      <c r="BN379" s="7"/>
    </row>
    <row r="380">
      <c r="AE380" s="14"/>
      <c r="AZ380" s="21"/>
      <c r="BA380" s="21"/>
      <c r="BB380" s="21"/>
      <c r="BC380" s="21"/>
      <c r="BD380" s="21"/>
      <c r="BE380" s="21"/>
      <c r="BF380" s="21"/>
      <c r="BG380" s="21"/>
      <c r="BI380" s="20"/>
      <c r="BJ380" s="20"/>
      <c r="BK380" s="20"/>
      <c r="BL380" s="20"/>
      <c r="BM380" s="7"/>
      <c r="BN380" s="7"/>
    </row>
    <row r="381">
      <c r="AE381" s="14"/>
      <c r="AZ381" s="21"/>
      <c r="BA381" s="21"/>
      <c r="BB381" s="21"/>
      <c r="BC381" s="21"/>
      <c r="BD381" s="21"/>
      <c r="BE381" s="21"/>
      <c r="BF381" s="21"/>
      <c r="BG381" s="21"/>
      <c r="BI381" s="20"/>
      <c r="BJ381" s="20"/>
      <c r="BK381" s="20"/>
      <c r="BL381" s="20"/>
      <c r="BM381" s="7"/>
      <c r="BN381" s="7"/>
    </row>
    <row r="382">
      <c r="AE382" s="14"/>
      <c r="AZ382" s="21"/>
      <c r="BA382" s="21"/>
      <c r="BB382" s="21"/>
      <c r="BC382" s="21"/>
      <c r="BD382" s="21"/>
      <c r="BE382" s="21"/>
      <c r="BF382" s="21"/>
      <c r="BG382" s="21"/>
      <c r="BI382" s="20"/>
      <c r="BJ382" s="20"/>
      <c r="BK382" s="20"/>
      <c r="BL382" s="20"/>
      <c r="BM382" s="7"/>
      <c r="BN382" s="7"/>
    </row>
    <row r="383">
      <c r="AE383" s="14"/>
      <c r="AZ383" s="21"/>
      <c r="BA383" s="21"/>
      <c r="BB383" s="21"/>
      <c r="BC383" s="21"/>
      <c r="BD383" s="21"/>
      <c r="BE383" s="21"/>
      <c r="BF383" s="21"/>
      <c r="BG383" s="21"/>
      <c r="BI383" s="20"/>
      <c r="BJ383" s="20"/>
      <c r="BK383" s="20"/>
      <c r="BL383" s="20"/>
      <c r="BM383" s="7"/>
      <c r="BN383" s="7"/>
    </row>
    <row r="384">
      <c r="AE384" s="14"/>
      <c r="AZ384" s="21"/>
      <c r="BA384" s="21"/>
      <c r="BB384" s="21"/>
      <c r="BC384" s="21"/>
      <c r="BD384" s="21"/>
      <c r="BE384" s="21"/>
      <c r="BF384" s="21"/>
      <c r="BG384" s="21"/>
      <c r="BI384" s="20"/>
      <c r="BJ384" s="20"/>
      <c r="BK384" s="20"/>
      <c r="BL384" s="20"/>
      <c r="BM384" s="7"/>
      <c r="BN384" s="7"/>
    </row>
    <row r="385">
      <c r="AE385" s="14"/>
      <c r="AZ385" s="21"/>
      <c r="BA385" s="21"/>
      <c r="BB385" s="21"/>
      <c r="BC385" s="21"/>
      <c r="BD385" s="21"/>
      <c r="BE385" s="21"/>
      <c r="BF385" s="21"/>
      <c r="BG385" s="21"/>
      <c r="BI385" s="20"/>
      <c r="BJ385" s="20"/>
      <c r="BK385" s="20"/>
      <c r="BL385" s="20"/>
      <c r="BM385" s="7"/>
      <c r="BN385" s="7"/>
    </row>
    <row r="386">
      <c r="AE386" s="14"/>
      <c r="AZ386" s="21"/>
      <c r="BA386" s="21"/>
      <c r="BB386" s="21"/>
      <c r="BC386" s="21"/>
      <c r="BD386" s="21"/>
      <c r="BE386" s="21"/>
      <c r="BF386" s="21"/>
      <c r="BG386" s="21"/>
      <c r="BI386" s="20"/>
      <c r="BJ386" s="20"/>
      <c r="BK386" s="20"/>
      <c r="BL386" s="20"/>
      <c r="BM386" s="7"/>
      <c r="BN386" s="7"/>
    </row>
    <row r="387">
      <c r="AE387" s="14"/>
      <c r="AZ387" s="21"/>
      <c r="BA387" s="21"/>
      <c r="BB387" s="21"/>
      <c r="BC387" s="21"/>
      <c r="BD387" s="21"/>
      <c r="BE387" s="21"/>
      <c r="BF387" s="21"/>
      <c r="BG387" s="21"/>
      <c r="BI387" s="20"/>
      <c r="BJ387" s="20"/>
      <c r="BK387" s="20"/>
      <c r="BL387" s="20"/>
      <c r="BM387" s="7"/>
      <c r="BN387" s="7"/>
    </row>
    <row r="388">
      <c r="AE388" s="14"/>
      <c r="AZ388" s="21"/>
      <c r="BA388" s="21"/>
      <c r="BB388" s="21"/>
      <c r="BC388" s="21"/>
      <c r="BD388" s="21"/>
      <c r="BE388" s="21"/>
      <c r="BF388" s="21"/>
      <c r="BG388" s="21"/>
      <c r="BI388" s="20"/>
      <c r="BJ388" s="20"/>
      <c r="BK388" s="20"/>
      <c r="BL388" s="20"/>
      <c r="BM388" s="7"/>
      <c r="BN388" s="7"/>
    </row>
    <row r="389">
      <c r="AE389" s="14"/>
      <c r="AZ389" s="21"/>
      <c r="BA389" s="21"/>
      <c r="BB389" s="21"/>
      <c r="BC389" s="21"/>
      <c r="BD389" s="21"/>
      <c r="BE389" s="21"/>
      <c r="BF389" s="21"/>
      <c r="BG389" s="21"/>
      <c r="BI389" s="20"/>
      <c r="BJ389" s="20"/>
      <c r="BK389" s="20"/>
      <c r="BL389" s="20"/>
      <c r="BM389" s="7"/>
      <c r="BN389" s="7"/>
    </row>
    <row r="390">
      <c r="AE390" s="14"/>
      <c r="AZ390" s="21"/>
      <c r="BA390" s="21"/>
      <c r="BB390" s="21"/>
      <c r="BC390" s="21"/>
      <c r="BD390" s="21"/>
      <c r="BE390" s="21"/>
      <c r="BF390" s="21"/>
      <c r="BG390" s="21"/>
      <c r="BI390" s="20"/>
      <c r="BJ390" s="20"/>
      <c r="BK390" s="20"/>
      <c r="BL390" s="20"/>
      <c r="BM390" s="7"/>
      <c r="BN390" s="7"/>
    </row>
    <row r="391">
      <c r="AE391" s="14"/>
      <c r="AZ391" s="21"/>
      <c r="BA391" s="21"/>
      <c r="BB391" s="21"/>
      <c r="BC391" s="21"/>
      <c r="BD391" s="21"/>
      <c r="BE391" s="21"/>
      <c r="BF391" s="21"/>
      <c r="BG391" s="21"/>
      <c r="BI391" s="20"/>
      <c r="BJ391" s="20"/>
      <c r="BK391" s="20"/>
      <c r="BL391" s="20"/>
      <c r="BM391" s="7"/>
      <c r="BN391" s="7"/>
    </row>
    <row r="392">
      <c r="AE392" s="14"/>
      <c r="AZ392" s="21"/>
      <c r="BA392" s="21"/>
      <c r="BB392" s="21"/>
      <c r="BC392" s="21"/>
      <c r="BD392" s="21"/>
      <c r="BE392" s="21"/>
      <c r="BF392" s="21"/>
      <c r="BG392" s="21"/>
      <c r="BI392" s="20"/>
      <c r="BJ392" s="20"/>
      <c r="BK392" s="20"/>
      <c r="BL392" s="20"/>
      <c r="BM392" s="7"/>
      <c r="BN392" s="7"/>
    </row>
    <row r="393">
      <c r="AE393" s="14"/>
      <c r="AZ393" s="21"/>
      <c r="BA393" s="21"/>
      <c r="BB393" s="21"/>
      <c r="BC393" s="21"/>
      <c r="BD393" s="21"/>
      <c r="BE393" s="21"/>
      <c r="BF393" s="21"/>
      <c r="BG393" s="21"/>
      <c r="BI393" s="20"/>
      <c r="BJ393" s="20"/>
      <c r="BK393" s="20"/>
      <c r="BL393" s="20"/>
      <c r="BM393" s="7"/>
      <c r="BN393" s="7"/>
    </row>
    <row r="394">
      <c r="AE394" s="14"/>
      <c r="AZ394" s="21"/>
      <c r="BA394" s="21"/>
      <c r="BB394" s="21"/>
      <c r="BC394" s="21"/>
      <c r="BD394" s="21"/>
      <c r="BE394" s="21"/>
      <c r="BF394" s="21"/>
      <c r="BG394" s="21"/>
      <c r="BI394" s="20"/>
      <c r="BJ394" s="20"/>
      <c r="BK394" s="20"/>
      <c r="BL394" s="20"/>
      <c r="BM394" s="7"/>
      <c r="BN394" s="7"/>
    </row>
    <row r="395">
      <c r="AE395" s="14"/>
      <c r="AZ395" s="21"/>
      <c r="BA395" s="21"/>
      <c r="BB395" s="21"/>
      <c r="BC395" s="21"/>
      <c r="BD395" s="21"/>
      <c r="BE395" s="21"/>
      <c r="BF395" s="21"/>
      <c r="BG395" s="21"/>
      <c r="BI395" s="20"/>
      <c r="BJ395" s="20"/>
      <c r="BK395" s="20"/>
      <c r="BL395" s="20"/>
      <c r="BM395" s="7"/>
      <c r="BN395" s="7"/>
    </row>
    <row r="396">
      <c r="AE396" s="14"/>
      <c r="AZ396" s="21"/>
      <c r="BA396" s="21"/>
      <c r="BB396" s="21"/>
      <c r="BC396" s="21"/>
      <c r="BD396" s="21"/>
      <c r="BE396" s="21"/>
      <c r="BF396" s="21"/>
      <c r="BG396" s="21"/>
      <c r="BI396" s="20"/>
      <c r="BJ396" s="20"/>
      <c r="BK396" s="20"/>
      <c r="BL396" s="20"/>
      <c r="BM396" s="7"/>
      <c r="BN396" s="7"/>
    </row>
    <row r="397">
      <c r="AE397" s="14"/>
      <c r="AZ397" s="21"/>
      <c r="BA397" s="21"/>
      <c r="BB397" s="21"/>
      <c r="BC397" s="21"/>
      <c r="BD397" s="21"/>
      <c r="BE397" s="21"/>
      <c r="BF397" s="21"/>
      <c r="BG397" s="21"/>
      <c r="BI397" s="20"/>
      <c r="BJ397" s="20"/>
      <c r="BK397" s="20"/>
      <c r="BL397" s="20"/>
      <c r="BM397" s="7"/>
      <c r="BN397" s="7"/>
    </row>
    <row r="398">
      <c r="AE398" s="14"/>
      <c r="AZ398" s="21"/>
      <c r="BA398" s="21"/>
      <c r="BB398" s="21"/>
      <c r="BC398" s="21"/>
      <c r="BD398" s="21"/>
      <c r="BE398" s="21"/>
      <c r="BF398" s="21"/>
      <c r="BG398" s="21"/>
      <c r="BI398" s="20"/>
      <c r="BJ398" s="20"/>
      <c r="BK398" s="20"/>
      <c r="BL398" s="20"/>
      <c r="BM398" s="7"/>
      <c r="BN398" s="7"/>
    </row>
    <row r="399">
      <c r="AE399" s="14"/>
      <c r="AZ399" s="21"/>
      <c r="BA399" s="21"/>
      <c r="BB399" s="21"/>
      <c r="BC399" s="21"/>
      <c r="BD399" s="21"/>
      <c r="BE399" s="21"/>
      <c r="BF399" s="21"/>
      <c r="BG399" s="21"/>
      <c r="BI399" s="20"/>
      <c r="BJ399" s="20"/>
      <c r="BK399" s="20"/>
      <c r="BL399" s="20"/>
      <c r="BM399" s="7"/>
      <c r="BN399" s="7"/>
    </row>
    <row r="400">
      <c r="AE400" s="14"/>
      <c r="AZ400" s="21"/>
      <c r="BA400" s="21"/>
      <c r="BB400" s="21"/>
      <c r="BC400" s="21"/>
      <c r="BD400" s="21"/>
      <c r="BE400" s="21"/>
      <c r="BF400" s="21"/>
      <c r="BG400" s="21"/>
      <c r="BI400" s="20"/>
      <c r="BJ400" s="20"/>
      <c r="BK400" s="20"/>
      <c r="BL400" s="20"/>
      <c r="BM400" s="7"/>
      <c r="BN400" s="7"/>
    </row>
    <row r="401">
      <c r="AE401" s="14"/>
      <c r="AZ401" s="21"/>
      <c r="BA401" s="21"/>
      <c r="BB401" s="21"/>
      <c r="BC401" s="21"/>
      <c r="BD401" s="21"/>
      <c r="BE401" s="21"/>
      <c r="BF401" s="21"/>
      <c r="BG401" s="21"/>
      <c r="BI401" s="20"/>
      <c r="BJ401" s="20"/>
      <c r="BK401" s="20"/>
      <c r="BL401" s="20"/>
      <c r="BM401" s="7"/>
      <c r="BN401" s="7"/>
    </row>
    <row r="402">
      <c r="AE402" s="14"/>
      <c r="AZ402" s="21"/>
      <c r="BA402" s="21"/>
      <c r="BB402" s="21"/>
      <c r="BC402" s="21"/>
      <c r="BD402" s="21"/>
      <c r="BE402" s="21"/>
      <c r="BF402" s="21"/>
      <c r="BG402" s="21"/>
      <c r="BI402" s="20"/>
      <c r="BJ402" s="20"/>
      <c r="BK402" s="20"/>
      <c r="BL402" s="20"/>
      <c r="BM402" s="7"/>
      <c r="BN402" s="7"/>
    </row>
    <row r="403">
      <c r="AE403" s="14"/>
      <c r="AZ403" s="21"/>
      <c r="BA403" s="21"/>
      <c r="BB403" s="21"/>
      <c r="BC403" s="21"/>
      <c r="BD403" s="21"/>
      <c r="BE403" s="21"/>
      <c r="BF403" s="21"/>
      <c r="BG403" s="21"/>
      <c r="BI403" s="20"/>
      <c r="BJ403" s="20"/>
      <c r="BK403" s="20"/>
      <c r="BL403" s="20"/>
      <c r="BM403" s="7"/>
      <c r="BN403" s="7"/>
    </row>
    <row r="404">
      <c r="AE404" s="14"/>
      <c r="AZ404" s="21"/>
      <c r="BA404" s="21"/>
      <c r="BB404" s="21"/>
      <c r="BC404" s="21"/>
      <c r="BD404" s="21"/>
      <c r="BE404" s="21"/>
      <c r="BF404" s="21"/>
      <c r="BG404" s="21"/>
      <c r="BI404" s="20"/>
      <c r="BJ404" s="20"/>
      <c r="BK404" s="20"/>
      <c r="BL404" s="20"/>
      <c r="BM404" s="7"/>
      <c r="BN404" s="7"/>
    </row>
    <row r="405">
      <c r="AE405" s="14"/>
      <c r="AZ405" s="21"/>
      <c r="BA405" s="21"/>
      <c r="BB405" s="21"/>
      <c r="BC405" s="21"/>
      <c r="BD405" s="21"/>
      <c r="BE405" s="21"/>
      <c r="BF405" s="21"/>
      <c r="BG405" s="21"/>
      <c r="BI405" s="20"/>
      <c r="BJ405" s="20"/>
      <c r="BK405" s="20"/>
      <c r="BL405" s="20"/>
      <c r="BM405" s="7"/>
      <c r="BN405" s="7"/>
    </row>
    <row r="406">
      <c r="AE406" s="14"/>
      <c r="AZ406" s="21"/>
      <c r="BA406" s="21"/>
      <c r="BB406" s="21"/>
      <c r="BC406" s="21"/>
      <c r="BD406" s="21"/>
      <c r="BE406" s="21"/>
      <c r="BF406" s="21"/>
      <c r="BG406" s="21"/>
      <c r="BI406" s="20"/>
      <c r="BJ406" s="20"/>
      <c r="BK406" s="20"/>
      <c r="BL406" s="20"/>
      <c r="BM406" s="7"/>
      <c r="BN406" s="7"/>
    </row>
    <row r="407">
      <c r="AE407" s="14"/>
      <c r="AZ407" s="21"/>
      <c r="BA407" s="21"/>
      <c r="BB407" s="21"/>
      <c r="BC407" s="21"/>
      <c r="BD407" s="21"/>
      <c r="BE407" s="21"/>
      <c r="BF407" s="21"/>
      <c r="BG407" s="21"/>
      <c r="BI407" s="20"/>
      <c r="BJ407" s="20"/>
      <c r="BK407" s="20"/>
      <c r="BL407" s="20"/>
      <c r="BM407" s="7"/>
      <c r="BN407" s="7"/>
    </row>
    <row r="408">
      <c r="AE408" s="14"/>
      <c r="AZ408" s="21"/>
      <c r="BA408" s="21"/>
      <c r="BB408" s="21"/>
      <c r="BC408" s="21"/>
      <c r="BD408" s="21"/>
      <c r="BE408" s="21"/>
      <c r="BF408" s="21"/>
      <c r="BG408" s="21"/>
      <c r="BI408" s="20"/>
      <c r="BJ408" s="20"/>
      <c r="BK408" s="20"/>
      <c r="BL408" s="20"/>
      <c r="BM408" s="7"/>
      <c r="BN408" s="7"/>
    </row>
    <row r="409">
      <c r="AE409" s="14"/>
      <c r="AZ409" s="21"/>
      <c r="BA409" s="21"/>
      <c r="BB409" s="21"/>
      <c r="BC409" s="21"/>
      <c r="BD409" s="21"/>
      <c r="BE409" s="21"/>
      <c r="BF409" s="21"/>
      <c r="BG409" s="21"/>
      <c r="BI409" s="20"/>
      <c r="BJ409" s="20"/>
      <c r="BK409" s="20"/>
      <c r="BL409" s="20"/>
      <c r="BM409" s="7"/>
      <c r="BN409" s="7"/>
    </row>
    <row r="410">
      <c r="AE410" s="14"/>
      <c r="AZ410" s="21"/>
      <c r="BA410" s="21"/>
      <c r="BB410" s="21"/>
      <c r="BC410" s="21"/>
      <c r="BD410" s="21"/>
      <c r="BE410" s="21"/>
      <c r="BF410" s="21"/>
      <c r="BG410" s="21"/>
      <c r="BI410" s="20"/>
      <c r="BJ410" s="20"/>
      <c r="BK410" s="20"/>
      <c r="BL410" s="20"/>
      <c r="BM410" s="7"/>
      <c r="BN410" s="7"/>
    </row>
    <row r="411">
      <c r="AE411" s="14"/>
      <c r="AZ411" s="21"/>
      <c r="BA411" s="21"/>
      <c r="BB411" s="21"/>
      <c r="BC411" s="21"/>
      <c r="BD411" s="21"/>
      <c r="BE411" s="21"/>
      <c r="BF411" s="21"/>
      <c r="BG411" s="21"/>
      <c r="BI411" s="20"/>
      <c r="BJ411" s="20"/>
      <c r="BK411" s="20"/>
      <c r="BL411" s="20"/>
      <c r="BM411" s="7"/>
      <c r="BN411" s="7"/>
    </row>
    <row r="412">
      <c r="AE412" s="14"/>
      <c r="AZ412" s="21"/>
      <c r="BA412" s="21"/>
      <c r="BB412" s="21"/>
      <c r="BC412" s="21"/>
      <c r="BD412" s="21"/>
      <c r="BE412" s="21"/>
      <c r="BF412" s="21"/>
      <c r="BG412" s="21"/>
      <c r="BI412" s="20"/>
      <c r="BJ412" s="20"/>
      <c r="BK412" s="20"/>
      <c r="BL412" s="20"/>
      <c r="BM412" s="7"/>
      <c r="BN412" s="7"/>
    </row>
    <row r="413">
      <c r="AE413" s="14"/>
      <c r="AZ413" s="21"/>
      <c r="BA413" s="21"/>
      <c r="BB413" s="21"/>
      <c r="BC413" s="21"/>
      <c r="BD413" s="21"/>
      <c r="BE413" s="21"/>
      <c r="BF413" s="21"/>
      <c r="BG413" s="21"/>
      <c r="BI413" s="20"/>
      <c r="BJ413" s="20"/>
      <c r="BK413" s="20"/>
      <c r="BL413" s="20"/>
      <c r="BM413" s="7"/>
      <c r="BN413" s="7"/>
    </row>
    <row r="414">
      <c r="AE414" s="14"/>
      <c r="AZ414" s="21"/>
      <c r="BA414" s="21"/>
      <c r="BB414" s="21"/>
      <c r="BC414" s="21"/>
      <c r="BD414" s="21"/>
      <c r="BE414" s="21"/>
      <c r="BF414" s="21"/>
      <c r="BG414" s="21"/>
      <c r="BI414" s="20"/>
      <c r="BJ414" s="20"/>
      <c r="BK414" s="20"/>
      <c r="BL414" s="20"/>
      <c r="BM414" s="7"/>
      <c r="BN414" s="7"/>
    </row>
    <row r="415">
      <c r="AE415" s="14"/>
      <c r="AZ415" s="21"/>
      <c r="BA415" s="21"/>
      <c r="BB415" s="21"/>
      <c r="BC415" s="21"/>
      <c r="BD415" s="21"/>
      <c r="BE415" s="21"/>
      <c r="BF415" s="21"/>
      <c r="BG415" s="21"/>
      <c r="BI415" s="20"/>
      <c r="BJ415" s="20"/>
      <c r="BK415" s="20"/>
      <c r="BL415" s="20"/>
      <c r="BM415" s="7"/>
      <c r="BN415" s="7"/>
    </row>
    <row r="416">
      <c r="AE416" s="14"/>
      <c r="AZ416" s="21"/>
      <c r="BA416" s="21"/>
      <c r="BB416" s="21"/>
      <c r="BC416" s="21"/>
      <c r="BD416" s="21"/>
      <c r="BE416" s="21"/>
      <c r="BF416" s="21"/>
      <c r="BG416" s="21"/>
      <c r="BI416" s="20"/>
      <c r="BJ416" s="20"/>
      <c r="BK416" s="20"/>
      <c r="BL416" s="20"/>
      <c r="BM416" s="7"/>
      <c r="BN416" s="7"/>
    </row>
    <row r="417">
      <c r="AE417" s="14"/>
      <c r="AZ417" s="21"/>
      <c r="BA417" s="21"/>
      <c r="BB417" s="21"/>
      <c r="BC417" s="21"/>
      <c r="BD417" s="21"/>
      <c r="BE417" s="21"/>
      <c r="BF417" s="21"/>
      <c r="BG417" s="21"/>
      <c r="BI417" s="20"/>
      <c r="BJ417" s="20"/>
      <c r="BK417" s="20"/>
      <c r="BL417" s="20"/>
      <c r="BM417" s="7"/>
      <c r="BN417" s="7"/>
    </row>
    <row r="418">
      <c r="AE418" s="14"/>
      <c r="AZ418" s="21"/>
      <c r="BA418" s="21"/>
      <c r="BB418" s="21"/>
      <c r="BC418" s="21"/>
      <c r="BD418" s="21"/>
      <c r="BE418" s="21"/>
      <c r="BF418" s="21"/>
      <c r="BG418" s="21"/>
      <c r="BI418" s="20"/>
      <c r="BJ418" s="20"/>
      <c r="BK418" s="20"/>
      <c r="BL418" s="20"/>
      <c r="BM418" s="7"/>
      <c r="BN418" s="7"/>
    </row>
    <row r="419">
      <c r="AE419" s="14"/>
      <c r="AZ419" s="21"/>
      <c r="BA419" s="21"/>
      <c r="BB419" s="21"/>
      <c r="BC419" s="21"/>
      <c r="BD419" s="21"/>
      <c r="BE419" s="21"/>
      <c r="BF419" s="21"/>
      <c r="BG419" s="21"/>
      <c r="BI419" s="20"/>
      <c r="BJ419" s="20"/>
      <c r="BK419" s="20"/>
      <c r="BL419" s="20"/>
      <c r="BM419" s="7"/>
      <c r="BN419" s="7"/>
    </row>
    <row r="420">
      <c r="AE420" s="14"/>
      <c r="AZ420" s="21"/>
      <c r="BA420" s="21"/>
      <c r="BB420" s="21"/>
      <c r="BC420" s="21"/>
      <c r="BD420" s="21"/>
      <c r="BE420" s="21"/>
      <c r="BF420" s="21"/>
      <c r="BG420" s="21"/>
      <c r="BI420" s="20"/>
      <c r="BJ420" s="20"/>
      <c r="BK420" s="20"/>
      <c r="BL420" s="20"/>
      <c r="BM420" s="7"/>
      <c r="BN420" s="7"/>
    </row>
    <row r="421">
      <c r="AE421" s="14"/>
      <c r="AZ421" s="21"/>
      <c r="BA421" s="21"/>
      <c r="BB421" s="21"/>
      <c r="BC421" s="21"/>
      <c r="BD421" s="21"/>
      <c r="BE421" s="21"/>
      <c r="BF421" s="21"/>
      <c r="BG421" s="21"/>
      <c r="BI421" s="20"/>
      <c r="BJ421" s="20"/>
      <c r="BK421" s="20"/>
      <c r="BL421" s="20"/>
      <c r="BM421" s="7"/>
      <c r="BN421" s="7"/>
    </row>
    <row r="422">
      <c r="AE422" s="14"/>
      <c r="AZ422" s="21"/>
      <c r="BA422" s="21"/>
      <c r="BB422" s="21"/>
      <c r="BC422" s="21"/>
      <c r="BD422" s="21"/>
      <c r="BE422" s="21"/>
      <c r="BF422" s="21"/>
      <c r="BG422" s="21"/>
      <c r="BI422" s="20"/>
      <c r="BJ422" s="20"/>
      <c r="BK422" s="20"/>
      <c r="BL422" s="20"/>
      <c r="BM422" s="7"/>
      <c r="BN422" s="7"/>
    </row>
    <row r="423">
      <c r="AE423" s="14"/>
      <c r="AZ423" s="21"/>
      <c r="BA423" s="21"/>
      <c r="BB423" s="21"/>
      <c r="BC423" s="21"/>
      <c r="BD423" s="21"/>
      <c r="BE423" s="21"/>
      <c r="BF423" s="21"/>
      <c r="BG423" s="21"/>
      <c r="BI423" s="20"/>
      <c r="BJ423" s="20"/>
      <c r="BK423" s="20"/>
      <c r="BL423" s="20"/>
      <c r="BM423" s="7"/>
      <c r="BN423" s="7"/>
    </row>
    <row r="424">
      <c r="AE424" s="14"/>
      <c r="AZ424" s="21"/>
      <c r="BA424" s="21"/>
      <c r="BB424" s="21"/>
      <c r="BC424" s="21"/>
      <c r="BD424" s="21"/>
      <c r="BE424" s="21"/>
      <c r="BF424" s="21"/>
      <c r="BG424" s="21"/>
      <c r="BI424" s="20"/>
      <c r="BJ424" s="20"/>
      <c r="BK424" s="20"/>
      <c r="BL424" s="20"/>
      <c r="BM424" s="7"/>
      <c r="BN424" s="7"/>
    </row>
    <row r="425">
      <c r="AE425" s="14"/>
      <c r="AZ425" s="21"/>
      <c r="BA425" s="21"/>
      <c r="BB425" s="21"/>
      <c r="BC425" s="21"/>
      <c r="BD425" s="21"/>
      <c r="BE425" s="21"/>
      <c r="BF425" s="21"/>
      <c r="BG425" s="21"/>
      <c r="BI425" s="20"/>
      <c r="BJ425" s="20"/>
      <c r="BK425" s="20"/>
      <c r="BL425" s="20"/>
      <c r="BM425" s="7"/>
      <c r="BN425" s="7"/>
    </row>
    <row r="426">
      <c r="AE426" s="14"/>
      <c r="AZ426" s="21"/>
      <c r="BA426" s="21"/>
      <c r="BB426" s="21"/>
      <c r="BC426" s="21"/>
      <c r="BD426" s="21"/>
      <c r="BE426" s="21"/>
      <c r="BF426" s="21"/>
      <c r="BG426" s="21"/>
      <c r="BI426" s="20"/>
      <c r="BJ426" s="20"/>
      <c r="BK426" s="20"/>
      <c r="BL426" s="20"/>
      <c r="BM426" s="7"/>
      <c r="BN426" s="7"/>
    </row>
    <row r="427">
      <c r="AE427" s="14"/>
      <c r="AZ427" s="21"/>
      <c r="BA427" s="21"/>
      <c r="BB427" s="21"/>
      <c r="BC427" s="21"/>
      <c r="BD427" s="21"/>
      <c r="BE427" s="21"/>
      <c r="BF427" s="21"/>
      <c r="BG427" s="21"/>
      <c r="BI427" s="20"/>
      <c r="BJ427" s="20"/>
      <c r="BK427" s="20"/>
      <c r="BL427" s="20"/>
      <c r="BM427" s="7"/>
      <c r="BN427" s="7"/>
    </row>
    <row r="428">
      <c r="AE428" s="14"/>
      <c r="AZ428" s="21"/>
      <c r="BA428" s="21"/>
      <c r="BB428" s="21"/>
      <c r="BC428" s="21"/>
      <c r="BD428" s="21"/>
      <c r="BE428" s="21"/>
      <c r="BF428" s="21"/>
      <c r="BG428" s="21"/>
      <c r="BI428" s="20"/>
      <c r="BJ428" s="20"/>
      <c r="BK428" s="20"/>
      <c r="BL428" s="20"/>
      <c r="BM428" s="7"/>
      <c r="BN428" s="7"/>
    </row>
    <row r="429">
      <c r="AE429" s="14"/>
      <c r="AZ429" s="21"/>
      <c r="BA429" s="21"/>
      <c r="BB429" s="21"/>
      <c r="BC429" s="21"/>
      <c r="BD429" s="21"/>
      <c r="BE429" s="21"/>
      <c r="BF429" s="21"/>
      <c r="BG429" s="21"/>
      <c r="BI429" s="20"/>
      <c r="BJ429" s="20"/>
      <c r="BK429" s="20"/>
      <c r="BL429" s="20"/>
      <c r="BM429" s="7"/>
      <c r="BN429" s="7"/>
    </row>
    <row r="430">
      <c r="AE430" s="14"/>
      <c r="AZ430" s="21"/>
      <c r="BA430" s="21"/>
      <c r="BB430" s="21"/>
      <c r="BC430" s="21"/>
      <c r="BD430" s="21"/>
      <c r="BE430" s="21"/>
      <c r="BF430" s="21"/>
      <c r="BG430" s="21"/>
      <c r="BI430" s="20"/>
      <c r="BJ430" s="20"/>
      <c r="BK430" s="20"/>
      <c r="BL430" s="20"/>
      <c r="BM430" s="7"/>
      <c r="BN430" s="7"/>
    </row>
    <row r="431">
      <c r="AE431" s="14"/>
      <c r="AZ431" s="21"/>
      <c r="BA431" s="21"/>
      <c r="BB431" s="21"/>
      <c r="BC431" s="21"/>
      <c r="BD431" s="21"/>
      <c r="BE431" s="21"/>
      <c r="BF431" s="21"/>
      <c r="BG431" s="21"/>
      <c r="BI431" s="20"/>
      <c r="BJ431" s="20"/>
      <c r="BK431" s="20"/>
      <c r="BL431" s="20"/>
      <c r="BM431" s="7"/>
      <c r="BN431" s="7"/>
    </row>
    <row r="432">
      <c r="AE432" s="14"/>
      <c r="AZ432" s="21"/>
      <c r="BA432" s="21"/>
      <c r="BB432" s="21"/>
      <c r="BC432" s="21"/>
      <c r="BD432" s="21"/>
      <c r="BE432" s="21"/>
      <c r="BF432" s="21"/>
      <c r="BG432" s="21"/>
      <c r="BI432" s="20"/>
      <c r="BJ432" s="20"/>
      <c r="BK432" s="20"/>
      <c r="BL432" s="20"/>
      <c r="BM432" s="7"/>
      <c r="BN432" s="7"/>
    </row>
    <row r="433">
      <c r="AE433" s="14"/>
      <c r="AZ433" s="21"/>
      <c r="BA433" s="21"/>
      <c r="BB433" s="21"/>
      <c r="BC433" s="21"/>
      <c r="BD433" s="21"/>
      <c r="BE433" s="21"/>
      <c r="BF433" s="21"/>
      <c r="BG433" s="21"/>
      <c r="BI433" s="20"/>
      <c r="BJ433" s="20"/>
      <c r="BK433" s="20"/>
      <c r="BL433" s="20"/>
      <c r="BM433" s="7"/>
      <c r="BN433" s="7"/>
    </row>
    <row r="434">
      <c r="AE434" s="14"/>
      <c r="AZ434" s="21"/>
      <c r="BA434" s="21"/>
      <c r="BB434" s="21"/>
      <c r="BC434" s="21"/>
      <c r="BD434" s="21"/>
      <c r="BE434" s="21"/>
      <c r="BF434" s="21"/>
      <c r="BG434" s="21"/>
      <c r="BI434" s="20"/>
      <c r="BJ434" s="20"/>
      <c r="BK434" s="20"/>
      <c r="BL434" s="20"/>
      <c r="BM434" s="7"/>
      <c r="BN434" s="7"/>
    </row>
    <row r="435">
      <c r="AE435" s="14"/>
      <c r="AZ435" s="21"/>
      <c r="BA435" s="21"/>
      <c r="BB435" s="21"/>
      <c r="BC435" s="21"/>
      <c r="BD435" s="21"/>
      <c r="BE435" s="21"/>
      <c r="BF435" s="21"/>
      <c r="BG435" s="21"/>
      <c r="BI435" s="20"/>
      <c r="BJ435" s="20"/>
      <c r="BK435" s="20"/>
      <c r="BL435" s="20"/>
      <c r="BM435" s="7"/>
      <c r="BN435" s="7"/>
    </row>
    <row r="436">
      <c r="AE436" s="14"/>
      <c r="AZ436" s="21"/>
      <c r="BA436" s="21"/>
      <c r="BB436" s="21"/>
      <c r="BC436" s="21"/>
      <c r="BD436" s="21"/>
      <c r="BE436" s="21"/>
      <c r="BF436" s="21"/>
      <c r="BG436" s="21"/>
      <c r="BI436" s="20"/>
      <c r="BJ436" s="20"/>
      <c r="BK436" s="20"/>
      <c r="BL436" s="20"/>
      <c r="BM436" s="7"/>
      <c r="BN436" s="7"/>
    </row>
    <row r="437">
      <c r="AE437" s="14"/>
      <c r="AZ437" s="21"/>
      <c r="BA437" s="21"/>
      <c r="BB437" s="21"/>
      <c r="BC437" s="21"/>
      <c r="BD437" s="21"/>
      <c r="BE437" s="21"/>
      <c r="BF437" s="21"/>
      <c r="BG437" s="21"/>
      <c r="BI437" s="20"/>
      <c r="BJ437" s="20"/>
      <c r="BK437" s="20"/>
      <c r="BL437" s="20"/>
      <c r="BM437" s="7"/>
      <c r="BN437" s="7"/>
    </row>
    <row r="438">
      <c r="AE438" s="14"/>
      <c r="AZ438" s="21"/>
      <c r="BA438" s="21"/>
      <c r="BB438" s="21"/>
      <c r="BC438" s="21"/>
      <c r="BD438" s="21"/>
      <c r="BE438" s="21"/>
      <c r="BF438" s="21"/>
      <c r="BG438" s="21"/>
      <c r="BI438" s="20"/>
      <c r="BJ438" s="20"/>
      <c r="BK438" s="20"/>
      <c r="BL438" s="20"/>
      <c r="BM438" s="7"/>
      <c r="BN438" s="7"/>
    </row>
    <row r="439">
      <c r="AE439" s="14"/>
      <c r="AZ439" s="21"/>
      <c r="BA439" s="21"/>
      <c r="BB439" s="21"/>
      <c r="BC439" s="21"/>
      <c r="BD439" s="21"/>
      <c r="BE439" s="21"/>
      <c r="BF439" s="21"/>
      <c r="BG439" s="21"/>
      <c r="BI439" s="20"/>
      <c r="BJ439" s="20"/>
      <c r="BK439" s="20"/>
      <c r="BL439" s="20"/>
      <c r="BM439" s="7"/>
      <c r="BN439" s="7"/>
    </row>
    <row r="440">
      <c r="AE440" s="14"/>
      <c r="AZ440" s="21"/>
      <c r="BA440" s="21"/>
      <c r="BB440" s="21"/>
      <c r="BC440" s="21"/>
      <c r="BD440" s="21"/>
      <c r="BE440" s="21"/>
      <c r="BF440" s="21"/>
      <c r="BG440" s="21"/>
      <c r="BI440" s="20"/>
      <c r="BJ440" s="20"/>
      <c r="BK440" s="20"/>
      <c r="BL440" s="20"/>
      <c r="BM440" s="7"/>
      <c r="BN440" s="7"/>
    </row>
    <row r="441">
      <c r="AE441" s="14"/>
      <c r="AZ441" s="21"/>
      <c r="BA441" s="21"/>
      <c r="BB441" s="21"/>
      <c r="BC441" s="21"/>
      <c r="BD441" s="21"/>
      <c r="BE441" s="21"/>
      <c r="BF441" s="21"/>
      <c r="BG441" s="21"/>
      <c r="BI441" s="20"/>
      <c r="BJ441" s="20"/>
      <c r="BK441" s="20"/>
      <c r="BL441" s="20"/>
      <c r="BM441" s="7"/>
      <c r="BN441" s="7"/>
    </row>
    <row r="442">
      <c r="AE442" s="14"/>
      <c r="AZ442" s="21"/>
      <c r="BA442" s="21"/>
      <c r="BB442" s="21"/>
      <c r="BC442" s="21"/>
      <c r="BD442" s="21"/>
      <c r="BE442" s="21"/>
      <c r="BF442" s="21"/>
      <c r="BG442" s="21"/>
      <c r="BI442" s="20"/>
      <c r="BJ442" s="20"/>
      <c r="BK442" s="20"/>
      <c r="BL442" s="20"/>
      <c r="BM442" s="7"/>
      <c r="BN442" s="7"/>
    </row>
    <row r="443">
      <c r="AE443" s="14"/>
      <c r="AZ443" s="21"/>
      <c r="BA443" s="21"/>
      <c r="BB443" s="21"/>
      <c r="BC443" s="21"/>
      <c r="BD443" s="21"/>
      <c r="BE443" s="21"/>
      <c r="BF443" s="21"/>
      <c r="BG443" s="21"/>
      <c r="BI443" s="20"/>
      <c r="BJ443" s="20"/>
      <c r="BK443" s="20"/>
      <c r="BL443" s="20"/>
      <c r="BM443" s="7"/>
      <c r="BN443" s="7"/>
    </row>
    <row r="444">
      <c r="AE444" s="14"/>
      <c r="AZ444" s="21"/>
      <c r="BA444" s="21"/>
      <c r="BB444" s="21"/>
      <c r="BC444" s="21"/>
      <c r="BD444" s="21"/>
      <c r="BE444" s="21"/>
      <c r="BF444" s="21"/>
      <c r="BG444" s="21"/>
      <c r="BI444" s="20"/>
      <c r="BJ444" s="20"/>
      <c r="BK444" s="20"/>
      <c r="BL444" s="20"/>
      <c r="BM444" s="7"/>
      <c r="BN444" s="7"/>
    </row>
    <row r="445">
      <c r="AE445" s="14"/>
      <c r="AZ445" s="21"/>
      <c r="BA445" s="21"/>
      <c r="BB445" s="21"/>
      <c r="BC445" s="21"/>
      <c r="BD445" s="21"/>
      <c r="BE445" s="21"/>
      <c r="BF445" s="21"/>
      <c r="BG445" s="21"/>
      <c r="BI445" s="20"/>
      <c r="BJ445" s="20"/>
      <c r="BK445" s="20"/>
      <c r="BL445" s="20"/>
      <c r="BM445" s="7"/>
      <c r="BN445" s="7"/>
    </row>
    <row r="446">
      <c r="AE446" s="14"/>
      <c r="AZ446" s="21"/>
      <c r="BA446" s="21"/>
      <c r="BB446" s="21"/>
      <c r="BC446" s="21"/>
      <c r="BD446" s="21"/>
      <c r="BE446" s="21"/>
      <c r="BF446" s="21"/>
      <c r="BG446" s="21"/>
      <c r="BI446" s="20"/>
      <c r="BJ446" s="20"/>
      <c r="BK446" s="20"/>
      <c r="BL446" s="20"/>
      <c r="BM446" s="7"/>
      <c r="BN446" s="7"/>
    </row>
    <row r="447">
      <c r="AE447" s="14"/>
      <c r="AZ447" s="21"/>
      <c r="BA447" s="21"/>
      <c r="BB447" s="21"/>
      <c r="BC447" s="21"/>
      <c r="BD447" s="21"/>
      <c r="BE447" s="21"/>
      <c r="BF447" s="21"/>
      <c r="BG447" s="21"/>
      <c r="BI447" s="20"/>
      <c r="BJ447" s="20"/>
      <c r="BK447" s="20"/>
      <c r="BL447" s="20"/>
      <c r="BM447" s="7"/>
      <c r="BN447" s="7"/>
    </row>
    <row r="448">
      <c r="AE448" s="14"/>
      <c r="AZ448" s="21"/>
      <c r="BA448" s="21"/>
      <c r="BB448" s="21"/>
      <c r="BC448" s="21"/>
      <c r="BD448" s="21"/>
      <c r="BE448" s="21"/>
      <c r="BF448" s="21"/>
      <c r="BG448" s="21"/>
      <c r="BI448" s="20"/>
      <c r="BJ448" s="20"/>
      <c r="BK448" s="20"/>
      <c r="BL448" s="20"/>
      <c r="BM448" s="7"/>
      <c r="BN448" s="7"/>
    </row>
    <row r="449">
      <c r="AE449" s="14"/>
      <c r="AZ449" s="21"/>
      <c r="BA449" s="21"/>
      <c r="BB449" s="21"/>
      <c r="BC449" s="21"/>
      <c r="BD449" s="21"/>
      <c r="BE449" s="21"/>
      <c r="BF449" s="21"/>
      <c r="BG449" s="21"/>
      <c r="BI449" s="20"/>
      <c r="BJ449" s="20"/>
      <c r="BK449" s="20"/>
      <c r="BL449" s="20"/>
      <c r="BM449" s="7"/>
      <c r="BN449" s="7"/>
    </row>
    <row r="450">
      <c r="AE450" s="14"/>
      <c r="AZ450" s="21"/>
      <c r="BA450" s="21"/>
      <c r="BB450" s="21"/>
      <c r="BC450" s="21"/>
      <c r="BD450" s="21"/>
      <c r="BE450" s="21"/>
      <c r="BF450" s="21"/>
      <c r="BG450" s="21"/>
      <c r="BI450" s="20"/>
      <c r="BJ450" s="20"/>
      <c r="BK450" s="20"/>
      <c r="BL450" s="20"/>
      <c r="BM450" s="7"/>
      <c r="BN450" s="7"/>
    </row>
    <row r="451">
      <c r="AE451" s="14"/>
      <c r="AZ451" s="21"/>
      <c r="BA451" s="21"/>
      <c r="BB451" s="21"/>
      <c r="BC451" s="21"/>
      <c r="BD451" s="21"/>
      <c r="BE451" s="21"/>
      <c r="BF451" s="21"/>
      <c r="BG451" s="21"/>
      <c r="BI451" s="20"/>
      <c r="BJ451" s="20"/>
      <c r="BK451" s="20"/>
      <c r="BL451" s="20"/>
      <c r="BM451" s="7"/>
      <c r="BN451" s="7"/>
    </row>
    <row r="452">
      <c r="AE452" s="14"/>
      <c r="AZ452" s="21"/>
      <c r="BA452" s="21"/>
      <c r="BB452" s="21"/>
      <c r="BC452" s="21"/>
      <c r="BD452" s="21"/>
      <c r="BE452" s="21"/>
      <c r="BF452" s="21"/>
      <c r="BG452" s="21"/>
      <c r="BI452" s="20"/>
      <c r="BJ452" s="20"/>
      <c r="BK452" s="20"/>
      <c r="BL452" s="20"/>
      <c r="BM452" s="7"/>
      <c r="BN452" s="7"/>
    </row>
    <row r="453">
      <c r="AE453" s="14"/>
      <c r="AZ453" s="21"/>
      <c r="BA453" s="21"/>
      <c r="BB453" s="21"/>
      <c r="BC453" s="21"/>
      <c r="BD453" s="21"/>
      <c r="BE453" s="21"/>
      <c r="BF453" s="21"/>
      <c r="BG453" s="21"/>
      <c r="BI453" s="20"/>
      <c r="BJ453" s="20"/>
      <c r="BK453" s="20"/>
      <c r="BL453" s="20"/>
      <c r="BM453" s="7"/>
      <c r="BN453" s="7"/>
    </row>
    <row r="454">
      <c r="AE454" s="14"/>
      <c r="AZ454" s="21"/>
      <c r="BA454" s="21"/>
      <c r="BB454" s="21"/>
      <c r="BC454" s="21"/>
      <c r="BD454" s="21"/>
      <c r="BE454" s="21"/>
      <c r="BF454" s="21"/>
      <c r="BG454" s="21"/>
      <c r="BI454" s="20"/>
      <c r="BJ454" s="20"/>
      <c r="BK454" s="20"/>
      <c r="BL454" s="20"/>
      <c r="BM454" s="7"/>
      <c r="BN454" s="7"/>
    </row>
    <row r="455">
      <c r="AE455" s="14"/>
      <c r="AZ455" s="21"/>
      <c r="BA455" s="21"/>
      <c r="BB455" s="21"/>
      <c r="BC455" s="21"/>
      <c r="BD455" s="21"/>
      <c r="BE455" s="21"/>
      <c r="BF455" s="21"/>
      <c r="BG455" s="21"/>
      <c r="BI455" s="20"/>
      <c r="BJ455" s="20"/>
      <c r="BK455" s="20"/>
      <c r="BL455" s="20"/>
      <c r="BM455" s="7"/>
      <c r="BN455" s="7"/>
    </row>
    <row r="456">
      <c r="AE456" s="14"/>
      <c r="AZ456" s="21"/>
      <c r="BA456" s="21"/>
      <c r="BB456" s="21"/>
      <c r="BC456" s="21"/>
      <c r="BD456" s="21"/>
      <c r="BE456" s="21"/>
      <c r="BF456" s="21"/>
      <c r="BG456" s="21"/>
      <c r="BI456" s="20"/>
      <c r="BJ456" s="20"/>
      <c r="BK456" s="20"/>
      <c r="BL456" s="20"/>
      <c r="BM456" s="7"/>
      <c r="BN456" s="7"/>
    </row>
    <row r="457">
      <c r="AE457" s="14"/>
      <c r="AZ457" s="21"/>
      <c r="BA457" s="21"/>
      <c r="BB457" s="21"/>
      <c r="BC457" s="21"/>
      <c r="BD457" s="21"/>
      <c r="BE457" s="21"/>
      <c r="BF457" s="21"/>
      <c r="BG457" s="21"/>
      <c r="BI457" s="20"/>
      <c r="BJ457" s="20"/>
      <c r="BK457" s="20"/>
      <c r="BL457" s="20"/>
      <c r="BM457" s="7"/>
      <c r="BN457" s="7"/>
    </row>
    <row r="458">
      <c r="AE458" s="14"/>
      <c r="AZ458" s="21"/>
      <c r="BA458" s="21"/>
      <c r="BB458" s="21"/>
      <c r="BC458" s="21"/>
      <c r="BD458" s="21"/>
      <c r="BE458" s="21"/>
      <c r="BF458" s="21"/>
      <c r="BG458" s="21"/>
      <c r="BI458" s="20"/>
      <c r="BJ458" s="20"/>
      <c r="BK458" s="20"/>
      <c r="BL458" s="20"/>
      <c r="BM458" s="7"/>
      <c r="BN458" s="7"/>
    </row>
    <row r="459">
      <c r="AE459" s="14"/>
      <c r="AZ459" s="21"/>
      <c r="BA459" s="21"/>
      <c r="BB459" s="21"/>
      <c r="BC459" s="21"/>
      <c r="BD459" s="21"/>
      <c r="BE459" s="21"/>
      <c r="BF459" s="21"/>
      <c r="BG459" s="21"/>
      <c r="BI459" s="20"/>
      <c r="BJ459" s="20"/>
      <c r="BK459" s="20"/>
      <c r="BL459" s="20"/>
      <c r="BM459" s="7"/>
      <c r="BN459" s="7"/>
    </row>
    <row r="460">
      <c r="AE460" s="14"/>
      <c r="AZ460" s="21"/>
      <c r="BA460" s="21"/>
      <c r="BB460" s="21"/>
      <c r="BC460" s="21"/>
      <c r="BD460" s="21"/>
      <c r="BE460" s="21"/>
      <c r="BF460" s="21"/>
      <c r="BG460" s="21"/>
      <c r="BI460" s="20"/>
      <c r="BJ460" s="20"/>
      <c r="BK460" s="20"/>
      <c r="BL460" s="20"/>
      <c r="BM460" s="7"/>
      <c r="BN460" s="7"/>
    </row>
    <row r="461">
      <c r="AE461" s="14"/>
      <c r="AZ461" s="21"/>
      <c r="BA461" s="21"/>
      <c r="BB461" s="21"/>
      <c r="BC461" s="21"/>
      <c r="BD461" s="21"/>
      <c r="BE461" s="21"/>
      <c r="BF461" s="21"/>
      <c r="BG461" s="21"/>
      <c r="BI461" s="20"/>
      <c r="BJ461" s="20"/>
      <c r="BK461" s="20"/>
      <c r="BL461" s="20"/>
      <c r="BM461" s="7"/>
      <c r="BN461" s="7"/>
    </row>
    <row r="462">
      <c r="AE462" s="14"/>
      <c r="AZ462" s="21"/>
      <c r="BA462" s="21"/>
      <c r="BB462" s="21"/>
      <c r="BC462" s="21"/>
      <c r="BD462" s="21"/>
      <c r="BE462" s="21"/>
      <c r="BF462" s="21"/>
      <c r="BG462" s="21"/>
      <c r="BI462" s="20"/>
      <c r="BJ462" s="20"/>
      <c r="BK462" s="20"/>
      <c r="BL462" s="20"/>
      <c r="BM462" s="7"/>
      <c r="BN462" s="7"/>
    </row>
    <row r="463">
      <c r="AE463" s="14"/>
      <c r="AZ463" s="21"/>
      <c r="BA463" s="21"/>
      <c r="BB463" s="21"/>
      <c r="BC463" s="21"/>
      <c r="BD463" s="21"/>
      <c r="BE463" s="21"/>
      <c r="BF463" s="21"/>
      <c r="BG463" s="21"/>
      <c r="BI463" s="20"/>
      <c r="BJ463" s="20"/>
      <c r="BK463" s="20"/>
      <c r="BL463" s="20"/>
      <c r="BM463" s="7"/>
      <c r="BN463" s="7"/>
    </row>
    <row r="464">
      <c r="AE464" s="14"/>
      <c r="AZ464" s="21"/>
      <c r="BA464" s="21"/>
      <c r="BB464" s="21"/>
      <c r="BC464" s="21"/>
      <c r="BD464" s="21"/>
      <c r="BE464" s="21"/>
      <c r="BF464" s="21"/>
      <c r="BG464" s="21"/>
      <c r="BI464" s="20"/>
      <c r="BJ464" s="20"/>
      <c r="BK464" s="20"/>
      <c r="BL464" s="20"/>
      <c r="BM464" s="7"/>
      <c r="BN464" s="7"/>
    </row>
    <row r="465">
      <c r="AE465" s="14"/>
      <c r="AZ465" s="21"/>
      <c r="BA465" s="21"/>
      <c r="BB465" s="21"/>
      <c r="BC465" s="21"/>
      <c r="BD465" s="21"/>
      <c r="BE465" s="21"/>
      <c r="BF465" s="21"/>
      <c r="BG465" s="21"/>
      <c r="BI465" s="20"/>
      <c r="BJ465" s="20"/>
      <c r="BK465" s="20"/>
      <c r="BL465" s="20"/>
      <c r="BM465" s="7"/>
      <c r="BN465" s="7"/>
    </row>
    <row r="466">
      <c r="AE466" s="14"/>
      <c r="AZ466" s="21"/>
      <c r="BA466" s="21"/>
      <c r="BB466" s="21"/>
      <c r="BC466" s="21"/>
      <c r="BD466" s="21"/>
      <c r="BE466" s="21"/>
      <c r="BF466" s="21"/>
      <c r="BG466" s="21"/>
      <c r="BI466" s="20"/>
      <c r="BJ466" s="20"/>
      <c r="BK466" s="20"/>
      <c r="BL466" s="20"/>
      <c r="BM466" s="7"/>
      <c r="BN466" s="7"/>
    </row>
    <row r="467">
      <c r="AE467" s="14"/>
      <c r="AZ467" s="21"/>
      <c r="BA467" s="21"/>
      <c r="BB467" s="21"/>
      <c r="BC467" s="21"/>
      <c r="BD467" s="21"/>
      <c r="BE467" s="21"/>
      <c r="BF467" s="21"/>
      <c r="BG467" s="21"/>
      <c r="BI467" s="20"/>
      <c r="BJ467" s="20"/>
      <c r="BK467" s="20"/>
      <c r="BL467" s="20"/>
      <c r="BM467" s="7"/>
      <c r="BN467" s="7"/>
    </row>
    <row r="468">
      <c r="AE468" s="14"/>
      <c r="AZ468" s="21"/>
      <c r="BA468" s="21"/>
      <c r="BB468" s="21"/>
      <c r="BC468" s="21"/>
      <c r="BD468" s="21"/>
      <c r="BE468" s="21"/>
      <c r="BF468" s="21"/>
      <c r="BG468" s="21"/>
      <c r="BI468" s="20"/>
      <c r="BJ468" s="20"/>
      <c r="BK468" s="20"/>
      <c r="BL468" s="20"/>
      <c r="BM468" s="7"/>
      <c r="BN468" s="7"/>
    </row>
    <row r="469">
      <c r="AE469" s="14"/>
      <c r="AZ469" s="21"/>
      <c r="BA469" s="21"/>
      <c r="BB469" s="21"/>
      <c r="BC469" s="21"/>
      <c r="BD469" s="21"/>
      <c r="BE469" s="21"/>
      <c r="BF469" s="21"/>
      <c r="BG469" s="21"/>
      <c r="BI469" s="20"/>
      <c r="BJ469" s="20"/>
      <c r="BK469" s="20"/>
      <c r="BL469" s="20"/>
      <c r="BM469" s="7"/>
      <c r="BN469" s="7"/>
    </row>
    <row r="470">
      <c r="AE470" s="14"/>
      <c r="AZ470" s="21"/>
      <c r="BA470" s="21"/>
      <c r="BB470" s="21"/>
      <c r="BC470" s="21"/>
      <c r="BD470" s="21"/>
      <c r="BE470" s="21"/>
      <c r="BF470" s="21"/>
      <c r="BG470" s="21"/>
      <c r="BI470" s="20"/>
      <c r="BJ470" s="20"/>
      <c r="BK470" s="20"/>
      <c r="BL470" s="20"/>
      <c r="BM470" s="7"/>
      <c r="BN470" s="7"/>
    </row>
    <row r="471">
      <c r="AE471" s="14"/>
      <c r="AZ471" s="21"/>
      <c r="BA471" s="21"/>
      <c r="BB471" s="21"/>
      <c r="BC471" s="21"/>
      <c r="BD471" s="21"/>
      <c r="BE471" s="21"/>
      <c r="BF471" s="21"/>
      <c r="BG471" s="21"/>
      <c r="BI471" s="20"/>
      <c r="BJ471" s="20"/>
      <c r="BK471" s="20"/>
      <c r="BL471" s="20"/>
      <c r="BM471" s="7"/>
      <c r="BN471" s="7"/>
    </row>
    <row r="472">
      <c r="AE472" s="14"/>
      <c r="AZ472" s="21"/>
      <c r="BA472" s="21"/>
      <c r="BB472" s="21"/>
      <c r="BC472" s="21"/>
      <c r="BD472" s="21"/>
      <c r="BE472" s="21"/>
      <c r="BF472" s="21"/>
      <c r="BG472" s="21"/>
      <c r="BI472" s="20"/>
      <c r="BJ472" s="20"/>
      <c r="BK472" s="20"/>
      <c r="BL472" s="20"/>
      <c r="BM472" s="7"/>
      <c r="BN472" s="7"/>
    </row>
    <row r="473">
      <c r="AE473" s="14"/>
      <c r="AZ473" s="21"/>
      <c r="BA473" s="21"/>
      <c r="BB473" s="21"/>
      <c r="BC473" s="21"/>
      <c r="BD473" s="21"/>
      <c r="BE473" s="21"/>
      <c r="BF473" s="21"/>
      <c r="BG473" s="21"/>
      <c r="BI473" s="20"/>
      <c r="BJ473" s="20"/>
      <c r="BK473" s="20"/>
      <c r="BL473" s="20"/>
      <c r="BM473" s="7"/>
      <c r="BN473" s="7"/>
    </row>
    <row r="474">
      <c r="AE474" s="14"/>
      <c r="AZ474" s="21"/>
      <c r="BA474" s="21"/>
      <c r="BB474" s="21"/>
      <c r="BC474" s="21"/>
      <c r="BD474" s="21"/>
      <c r="BE474" s="21"/>
      <c r="BF474" s="21"/>
      <c r="BG474" s="21"/>
      <c r="BI474" s="20"/>
      <c r="BJ474" s="20"/>
      <c r="BK474" s="20"/>
      <c r="BL474" s="20"/>
      <c r="BM474" s="7"/>
      <c r="BN474" s="7"/>
    </row>
    <row r="475">
      <c r="AE475" s="14"/>
      <c r="AZ475" s="21"/>
      <c r="BA475" s="21"/>
      <c r="BB475" s="21"/>
      <c r="BC475" s="21"/>
      <c r="BD475" s="21"/>
      <c r="BE475" s="21"/>
      <c r="BF475" s="21"/>
      <c r="BG475" s="21"/>
      <c r="BI475" s="20"/>
      <c r="BJ475" s="20"/>
      <c r="BK475" s="20"/>
      <c r="BL475" s="20"/>
      <c r="BM475" s="7"/>
      <c r="BN475" s="7"/>
    </row>
    <row r="476">
      <c r="AE476" s="14"/>
      <c r="AZ476" s="21"/>
      <c r="BA476" s="21"/>
      <c r="BB476" s="21"/>
      <c r="BC476" s="21"/>
      <c r="BD476" s="21"/>
      <c r="BE476" s="21"/>
      <c r="BF476" s="21"/>
      <c r="BG476" s="21"/>
      <c r="BI476" s="20"/>
      <c r="BJ476" s="20"/>
      <c r="BK476" s="20"/>
      <c r="BL476" s="20"/>
      <c r="BM476" s="7"/>
      <c r="BN476" s="7"/>
    </row>
    <row r="477">
      <c r="AE477" s="14"/>
      <c r="AZ477" s="21"/>
      <c r="BA477" s="21"/>
      <c r="BB477" s="21"/>
      <c r="BC477" s="21"/>
      <c r="BD477" s="21"/>
      <c r="BE477" s="21"/>
      <c r="BF477" s="21"/>
      <c r="BG477" s="21"/>
      <c r="BI477" s="20"/>
      <c r="BJ477" s="20"/>
      <c r="BK477" s="20"/>
      <c r="BL477" s="20"/>
      <c r="BM477" s="7"/>
      <c r="BN477" s="7"/>
    </row>
    <row r="478">
      <c r="AE478" s="14"/>
      <c r="AZ478" s="21"/>
      <c r="BA478" s="21"/>
      <c r="BB478" s="21"/>
      <c r="BC478" s="21"/>
      <c r="BD478" s="21"/>
      <c r="BE478" s="21"/>
      <c r="BF478" s="21"/>
      <c r="BG478" s="21"/>
      <c r="BI478" s="20"/>
      <c r="BJ478" s="20"/>
      <c r="BK478" s="20"/>
      <c r="BL478" s="20"/>
      <c r="BM478" s="7"/>
      <c r="BN478" s="7"/>
    </row>
    <row r="479">
      <c r="AE479" s="14"/>
      <c r="AZ479" s="21"/>
      <c r="BA479" s="21"/>
      <c r="BB479" s="21"/>
      <c r="BC479" s="21"/>
      <c r="BD479" s="21"/>
      <c r="BE479" s="21"/>
      <c r="BF479" s="21"/>
      <c r="BG479" s="21"/>
      <c r="BI479" s="20"/>
      <c r="BJ479" s="20"/>
      <c r="BK479" s="20"/>
      <c r="BL479" s="20"/>
      <c r="BM479" s="7"/>
      <c r="BN479" s="7"/>
    </row>
    <row r="480">
      <c r="AE480" s="14"/>
      <c r="AZ480" s="21"/>
      <c r="BA480" s="21"/>
      <c r="BB480" s="21"/>
      <c r="BC480" s="21"/>
      <c r="BD480" s="21"/>
      <c r="BE480" s="21"/>
      <c r="BF480" s="21"/>
      <c r="BG480" s="21"/>
      <c r="BI480" s="20"/>
      <c r="BJ480" s="20"/>
      <c r="BK480" s="20"/>
      <c r="BL480" s="20"/>
      <c r="BM480" s="7"/>
      <c r="BN480" s="7"/>
    </row>
    <row r="481">
      <c r="AE481" s="14"/>
      <c r="AZ481" s="21"/>
      <c r="BA481" s="21"/>
      <c r="BB481" s="21"/>
      <c r="BC481" s="21"/>
      <c r="BD481" s="21"/>
      <c r="BE481" s="21"/>
      <c r="BF481" s="21"/>
      <c r="BG481" s="21"/>
      <c r="BI481" s="20"/>
      <c r="BJ481" s="20"/>
      <c r="BK481" s="20"/>
      <c r="BL481" s="20"/>
      <c r="BM481" s="7"/>
      <c r="BN481" s="7"/>
    </row>
    <row r="482">
      <c r="AE482" s="14"/>
      <c r="AZ482" s="21"/>
      <c r="BA482" s="21"/>
      <c r="BB482" s="21"/>
      <c r="BC482" s="21"/>
      <c r="BD482" s="21"/>
      <c r="BE482" s="21"/>
      <c r="BF482" s="21"/>
      <c r="BG482" s="21"/>
      <c r="BI482" s="20"/>
      <c r="BJ482" s="20"/>
      <c r="BK482" s="20"/>
      <c r="BL482" s="20"/>
      <c r="BM482" s="7"/>
      <c r="BN482" s="7"/>
    </row>
    <row r="483">
      <c r="AE483" s="14"/>
      <c r="AZ483" s="21"/>
      <c r="BA483" s="21"/>
      <c r="BB483" s="21"/>
      <c r="BC483" s="21"/>
      <c r="BD483" s="21"/>
      <c r="BE483" s="21"/>
      <c r="BF483" s="21"/>
      <c r="BG483" s="21"/>
      <c r="BI483" s="20"/>
      <c r="BJ483" s="20"/>
      <c r="BK483" s="20"/>
      <c r="BL483" s="20"/>
      <c r="BM483" s="7"/>
      <c r="BN483" s="7"/>
    </row>
    <row r="484">
      <c r="AE484" s="14"/>
      <c r="AZ484" s="21"/>
      <c r="BA484" s="21"/>
      <c r="BB484" s="21"/>
      <c r="BC484" s="21"/>
      <c r="BD484" s="21"/>
      <c r="BE484" s="21"/>
      <c r="BF484" s="21"/>
      <c r="BG484" s="21"/>
      <c r="BI484" s="20"/>
      <c r="BJ484" s="20"/>
      <c r="BK484" s="20"/>
      <c r="BL484" s="20"/>
      <c r="BM484" s="7"/>
      <c r="BN484" s="7"/>
    </row>
    <row r="485">
      <c r="AE485" s="14"/>
      <c r="AZ485" s="21"/>
      <c r="BA485" s="21"/>
      <c r="BB485" s="21"/>
      <c r="BC485" s="21"/>
      <c r="BD485" s="21"/>
      <c r="BE485" s="21"/>
      <c r="BF485" s="21"/>
      <c r="BG485" s="21"/>
      <c r="BI485" s="20"/>
      <c r="BJ485" s="20"/>
      <c r="BK485" s="20"/>
      <c r="BL485" s="20"/>
      <c r="BM485" s="7"/>
      <c r="BN485" s="7"/>
    </row>
    <row r="486">
      <c r="AE486" s="14"/>
      <c r="AZ486" s="21"/>
      <c r="BA486" s="21"/>
      <c r="BB486" s="21"/>
      <c r="BC486" s="21"/>
      <c r="BD486" s="21"/>
      <c r="BE486" s="21"/>
      <c r="BF486" s="21"/>
      <c r="BG486" s="21"/>
      <c r="BI486" s="20"/>
      <c r="BJ486" s="20"/>
      <c r="BK486" s="20"/>
      <c r="BL486" s="20"/>
      <c r="BM486" s="7"/>
      <c r="BN486" s="7"/>
    </row>
    <row r="487">
      <c r="AE487" s="14"/>
      <c r="AZ487" s="21"/>
      <c r="BA487" s="21"/>
      <c r="BB487" s="21"/>
      <c r="BC487" s="21"/>
      <c r="BD487" s="21"/>
      <c r="BE487" s="21"/>
      <c r="BF487" s="21"/>
      <c r="BG487" s="21"/>
      <c r="BI487" s="20"/>
      <c r="BJ487" s="20"/>
      <c r="BK487" s="20"/>
      <c r="BL487" s="20"/>
      <c r="BM487" s="7"/>
      <c r="BN487" s="7"/>
    </row>
    <row r="488">
      <c r="AE488" s="14"/>
      <c r="AZ488" s="21"/>
      <c r="BA488" s="21"/>
      <c r="BB488" s="21"/>
      <c r="BC488" s="21"/>
      <c r="BD488" s="21"/>
      <c r="BE488" s="21"/>
      <c r="BF488" s="21"/>
      <c r="BG488" s="21"/>
      <c r="BI488" s="20"/>
      <c r="BJ488" s="20"/>
      <c r="BK488" s="20"/>
      <c r="BL488" s="20"/>
      <c r="BM488" s="7"/>
      <c r="BN488" s="7"/>
    </row>
    <row r="489">
      <c r="AE489" s="14"/>
      <c r="AZ489" s="21"/>
      <c r="BA489" s="21"/>
      <c r="BB489" s="21"/>
      <c r="BC489" s="21"/>
      <c r="BD489" s="21"/>
      <c r="BE489" s="21"/>
      <c r="BF489" s="21"/>
      <c r="BG489" s="21"/>
      <c r="BI489" s="20"/>
      <c r="BJ489" s="20"/>
      <c r="BK489" s="20"/>
      <c r="BL489" s="20"/>
      <c r="BM489" s="7"/>
      <c r="BN489" s="7"/>
    </row>
    <row r="490">
      <c r="AE490" s="14"/>
      <c r="AZ490" s="21"/>
      <c r="BA490" s="21"/>
      <c r="BB490" s="21"/>
      <c r="BC490" s="21"/>
      <c r="BD490" s="21"/>
      <c r="BE490" s="21"/>
      <c r="BF490" s="21"/>
      <c r="BG490" s="21"/>
      <c r="BI490" s="20"/>
      <c r="BJ490" s="20"/>
      <c r="BK490" s="20"/>
      <c r="BL490" s="20"/>
      <c r="BM490" s="7"/>
      <c r="BN490" s="7"/>
    </row>
    <row r="491">
      <c r="AE491" s="14"/>
      <c r="AZ491" s="21"/>
      <c r="BA491" s="21"/>
      <c r="BB491" s="21"/>
      <c r="BC491" s="21"/>
      <c r="BD491" s="21"/>
      <c r="BE491" s="21"/>
      <c r="BF491" s="21"/>
      <c r="BG491" s="21"/>
      <c r="BI491" s="20"/>
      <c r="BJ491" s="20"/>
      <c r="BK491" s="20"/>
      <c r="BL491" s="20"/>
      <c r="BM491" s="7"/>
      <c r="BN491" s="7"/>
    </row>
    <row r="492">
      <c r="AE492" s="14"/>
      <c r="AZ492" s="21"/>
      <c r="BA492" s="21"/>
      <c r="BB492" s="21"/>
      <c r="BC492" s="21"/>
      <c r="BD492" s="21"/>
      <c r="BE492" s="21"/>
      <c r="BF492" s="21"/>
      <c r="BG492" s="21"/>
      <c r="BI492" s="20"/>
      <c r="BJ492" s="20"/>
      <c r="BK492" s="20"/>
      <c r="BL492" s="20"/>
      <c r="BM492" s="7"/>
      <c r="BN492" s="7"/>
    </row>
    <row r="493">
      <c r="AE493" s="14"/>
      <c r="AZ493" s="21"/>
      <c r="BA493" s="21"/>
      <c r="BB493" s="21"/>
      <c r="BC493" s="21"/>
      <c r="BD493" s="21"/>
      <c r="BE493" s="21"/>
      <c r="BF493" s="21"/>
      <c r="BG493" s="21"/>
      <c r="BI493" s="20"/>
      <c r="BJ493" s="20"/>
      <c r="BK493" s="20"/>
      <c r="BL493" s="20"/>
      <c r="BM493" s="7"/>
      <c r="BN493" s="7"/>
    </row>
    <row r="494">
      <c r="AE494" s="14"/>
      <c r="AZ494" s="21"/>
      <c r="BA494" s="21"/>
      <c r="BB494" s="21"/>
      <c r="BC494" s="21"/>
      <c r="BD494" s="21"/>
      <c r="BE494" s="21"/>
      <c r="BF494" s="21"/>
      <c r="BG494" s="21"/>
      <c r="BI494" s="20"/>
      <c r="BJ494" s="20"/>
      <c r="BK494" s="20"/>
      <c r="BL494" s="20"/>
      <c r="BM494" s="7"/>
      <c r="BN494" s="7"/>
    </row>
    <row r="495">
      <c r="AE495" s="14"/>
      <c r="AZ495" s="21"/>
      <c r="BA495" s="21"/>
      <c r="BB495" s="21"/>
      <c r="BC495" s="21"/>
      <c r="BD495" s="21"/>
      <c r="BE495" s="21"/>
      <c r="BF495" s="21"/>
      <c r="BG495" s="21"/>
      <c r="BI495" s="20"/>
      <c r="BJ495" s="20"/>
      <c r="BK495" s="20"/>
      <c r="BL495" s="20"/>
      <c r="BM495" s="7"/>
      <c r="BN495" s="7"/>
    </row>
    <row r="496">
      <c r="AE496" s="14"/>
      <c r="AZ496" s="21"/>
      <c r="BA496" s="21"/>
      <c r="BB496" s="21"/>
      <c r="BC496" s="21"/>
      <c r="BD496" s="21"/>
      <c r="BE496" s="21"/>
      <c r="BF496" s="21"/>
      <c r="BG496" s="21"/>
      <c r="BI496" s="20"/>
      <c r="BJ496" s="20"/>
      <c r="BK496" s="20"/>
      <c r="BL496" s="20"/>
      <c r="BM496" s="7"/>
      <c r="BN496" s="7"/>
    </row>
    <row r="497">
      <c r="AE497" s="14"/>
      <c r="AZ497" s="21"/>
      <c r="BA497" s="21"/>
      <c r="BB497" s="21"/>
      <c r="BC497" s="21"/>
      <c r="BD497" s="21"/>
      <c r="BE497" s="21"/>
      <c r="BF497" s="21"/>
      <c r="BG497" s="21"/>
      <c r="BI497" s="20"/>
      <c r="BJ497" s="20"/>
      <c r="BK497" s="20"/>
      <c r="BL497" s="20"/>
      <c r="BM497" s="7"/>
      <c r="BN497" s="7"/>
    </row>
    <row r="498">
      <c r="AE498" s="14"/>
      <c r="AZ498" s="21"/>
      <c r="BA498" s="21"/>
      <c r="BB498" s="21"/>
      <c r="BC498" s="21"/>
      <c r="BD498" s="21"/>
      <c r="BE498" s="21"/>
      <c r="BF498" s="21"/>
      <c r="BG498" s="21"/>
      <c r="BI498" s="20"/>
      <c r="BJ498" s="20"/>
      <c r="BK498" s="20"/>
      <c r="BL498" s="20"/>
      <c r="BM498" s="7"/>
      <c r="BN498" s="7"/>
    </row>
    <row r="499">
      <c r="AE499" s="14"/>
      <c r="AZ499" s="21"/>
      <c r="BA499" s="21"/>
      <c r="BB499" s="21"/>
      <c r="BC499" s="21"/>
      <c r="BD499" s="21"/>
      <c r="BE499" s="21"/>
      <c r="BF499" s="21"/>
      <c r="BG499" s="21"/>
      <c r="BI499" s="20"/>
      <c r="BJ499" s="20"/>
      <c r="BK499" s="20"/>
      <c r="BL499" s="20"/>
      <c r="BM499" s="7"/>
      <c r="BN499" s="7"/>
    </row>
    <row r="500">
      <c r="AE500" s="14"/>
      <c r="AZ500" s="21"/>
      <c r="BA500" s="21"/>
      <c r="BB500" s="21"/>
      <c r="BC500" s="21"/>
      <c r="BD500" s="21"/>
      <c r="BE500" s="21"/>
      <c r="BF500" s="21"/>
      <c r="BG500" s="21"/>
      <c r="BI500" s="20"/>
      <c r="BJ500" s="20"/>
      <c r="BK500" s="20"/>
      <c r="BL500" s="20"/>
      <c r="BM500" s="7"/>
      <c r="BN500" s="7"/>
    </row>
    <row r="501">
      <c r="AE501" s="14"/>
      <c r="AZ501" s="21"/>
      <c r="BA501" s="21"/>
      <c r="BB501" s="21"/>
      <c r="BC501" s="21"/>
      <c r="BD501" s="21"/>
      <c r="BE501" s="21"/>
      <c r="BF501" s="21"/>
      <c r="BG501" s="21"/>
      <c r="BI501" s="20"/>
      <c r="BJ501" s="20"/>
      <c r="BK501" s="20"/>
      <c r="BL501" s="20"/>
      <c r="BM501" s="7"/>
      <c r="BN501" s="7"/>
    </row>
    <row r="502">
      <c r="AE502" s="14"/>
      <c r="AZ502" s="21"/>
      <c r="BA502" s="21"/>
      <c r="BB502" s="21"/>
      <c r="BC502" s="21"/>
      <c r="BD502" s="21"/>
      <c r="BE502" s="21"/>
      <c r="BF502" s="21"/>
      <c r="BG502" s="21"/>
      <c r="BI502" s="20"/>
      <c r="BJ502" s="20"/>
      <c r="BK502" s="20"/>
      <c r="BL502" s="20"/>
      <c r="BM502" s="7"/>
      <c r="BN502" s="7"/>
    </row>
    <row r="503">
      <c r="AE503" s="14"/>
      <c r="AZ503" s="21"/>
      <c r="BA503" s="21"/>
      <c r="BB503" s="21"/>
      <c r="BC503" s="21"/>
      <c r="BD503" s="21"/>
      <c r="BE503" s="21"/>
      <c r="BF503" s="21"/>
      <c r="BG503" s="21"/>
      <c r="BI503" s="20"/>
      <c r="BJ503" s="20"/>
      <c r="BK503" s="20"/>
      <c r="BL503" s="20"/>
      <c r="BM503" s="7"/>
      <c r="BN503" s="7"/>
    </row>
    <row r="504">
      <c r="AE504" s="14"/>
      <c r="AZ504" s="21"/>
      <c r="BA504" s="21"/>
      <c r="BB504" s="21"/>
      <c r="BC504" s="21"/>
      <c r="BD504" s="21"/>
      <c r="BE504" s="21"/>
      <c r="BF504" s="21"/>
      <c r="BG504" s="21"/>
      <c r="BI504" s="20"/>
      <c r="BJ504" s="20"/>
      <c r="BK504" s="20"/>
      <c r="BL504" s="20"/>
      <c r="BM504" s="7"/>
      <c r="BN504" s="7"/>
    </row>
    <row r="505">
      <c r="AE505" s="14"/>
      <c r="AZ505" s="21"/>
      <c r="BA505" s="21"/>
      <c r="BB505" s="21"/>
      <c r="BC505" s="21"/>
      <c r="BD505" s="21"/>
      <c r="BE505" s="21"/>
      <c r="BF505" s="21"/>
      <c r="BG505" s="21"/>
      <c r="BI505" s="20"/>
      <c r="BJ505" s="20"/>
      <c r="BK505" s="20"/>
      <c r="BL505" s="20"/>
      <c r="BM505" s="7"/>
      <c r="BN505" s="7"/>
    </row>
    <row r="506">
      <c r="AE506" s="14"/>
      <c r="AZ506" s="21"/>
      <c r="BA506" s="21"/>
      <c r="BB506" s="21"/>
      <c r="BC506" s="21"/>
      <c r="BD506" s="21"/>
      <c r="BE506" s="21"/>
      <c r="BF506" s="21"/>
      <c r="BG506" s="21"/>
      <c r="BI506" s="20"/>
      <c r="BJ506" s="20"/>
      <c r="BK506" s="20"/>
      <c r="BL506" s="20"/>
      <c r="BM506" s="7"/>
      <c r="BN506" s="7"/>
    </row>
    <row r="507">
      <c r="AE507" s="14"/>
      <c r="AZ507" s="21"/>
      <c r="BA507" s="21"/>
      <c r="BB507" s="21"/>
      <c r="BC507" s="21"/>
      <c r="BD507" s="21"/>
      <c r="BE507" s="21"/>
      <c r="BF507" s="21"/>
      <c r="BG507" s="21"/>
      <c r="BI507" s="20"/>
      <c r="BJ507" s="20"/>
      <c r="BK507" s="20"/>
      <c r="BL507" s="20"/>
      <c r="BM507" s="7"/>
      <c r="BN507" s="7"/>
    </row>
    <row r="508">
      <c r="AE508" s="14"/>
      <c r="AZ508" s="21"/>
      <c r="BA508" s="21"/>
      <c r="BB508" s="21"/>
      <c r="BC508" s="21"/>
      <c r="BD508" s="21"/>
      <c r="BE508" s="21"/>
      <c r="BF508" s="21"/>
      <c r="BG508" s="21"/>
      <c r="BI508" s="20"/>
      <c r="BJ508" s="20"/>
      <c r="BK508" s="20"/>
      <c r="BL508" s="20"/>
      <c r="BM508" s="7"/>
      <c r="BN508" s="7"/>
    </row>
    <row r="509">
      <c r="AE509" s="14"/>
      <c r="AZ509" s="21"/>
      <c r="BA509" s="21"/>
      <c r="BB509" s="21"/>
      <c r="BC509" s="21"/>
      <c r="BD509" s="21"/>
      <c r="BE509" s="21"/>
      <c r="BF509" s="21"/>
      <c r="BG509" s="21"/>
      <c r="BI509" s="20"/>
      <c r="BJ509" s="20"/>
      <c r="BK509" s="20"/>
      <c r="BL509" s="20"/>
      <c r="BM509" s="7"/>
      <c r="BN509" s="7"/>
    </row>
    <row r="510">
      <c r="AE510" s="14"/>
      <c r="AZ510" s="21"/>
      <c r="BA510" s="21"/>
      <c r="BB510" s="21"/>
      <c r="BC510" s="21"/>
      <c r="BD510" s="21"/>
      <c r="BE510" s="21"/>
      <c r="BF510" s="21"/>
      <c r="BG510" s="21"/>
      <c r="BI510" s="20"/>
      <c r="BJ510" s="20"/>
      <c r="BK510" s="20"/>
      <c r="BL510" s="20"/>
      <c r="BM510" s="7"/>
      <c r="BN510" s="7"/>
    </row>
    <row r="511">
      <c r="AE511" s="14"/>
      <c r="AZ511" s="21"/>
      <c r="BA511" s="21"/>
      <c r="BB511" s="21"/>
      <c r="BC511" s="21"/>
      <c r="BD511" s="21"/>
      <c r="BE511" s="21"/>
      <c r="BF511" s="21"/>
      <c r="BG511" s="21"/>
      <c r="BI511" s="20"/>
      <c r="BJ511" s="20"/>
      <c r="BK511" s="20"/>
      <c r="BL511" s="20"/>
      <c r="BM511" s="7"/>
      <c r="BN511" s="7"/>
    </row>
    <row r="512">
      <c r="AE512" s="14"/>
      <c r="AZ512" s="21"/>
      <c r="BA512" s="21"/>
      <c r="BB512" s="21"/>
      <c r="BC512" s="21"/>
      <c r="BD512" s="21"/>
      <c r="BE512" s="21"/>
      <c r="BF512" s="21"/>
      <c r="BG512" s="21"/>
      <c r="BI512" s="20"/>
      <c r="BJ512" s="20"/>
      <c r="BK512" s="20"/>
      <c r="BL512" s="20"/>
      <c r="BM512" s="7"/>
      <c r="BN512" s="7"/>
    </row>
    <row r="513">
      <c r="AE513" s="14"/>
      <c r="AZ513" s="21"/>
      <c r="BA513" s="21"/>
      <c r="BB513" s="21"/>
      <c r="BC513" s="21"/>
      <c r="BD513" s="21"/>
      <c r="BE513" s="21"/>
      <c r="BF513" s="21"/>
      <c r="BG513" s="21"/>
      <c r="BI513" s="20"/>
      <c r="BJ513" s="20"/>
      <c r="BK513" s="20"/>
      <c r="BL513" s="20"/>
      <c r="BM513" s="7"/>
      <c r="BN513" s="7"/>
    </row>
    <row r="514">
      <c r="AE514" s="14"/>
      <c r="AZ514" s="21"/>
      <c r="BA514" s="21"/>
      <c r="BB514" s="21"/>
      <c r="BC514" s="21"/>
      <c r="BD514" s="21"/>
      <c r="BE514" s="21"/>
      <c r="BF514" s="21"/>
      <c r="BG514" s="21"/>
      <c r="BI514" s="20"/>
      <c r="BJ514" s="20"/>
      <c r="BK514" s="20"/>
      <c r="BL514" s="20"/>
      <c r="BM514" s="7"/>
      <c r="BN514" s="7"/>
    </row>
    <row r="515">
      <c r="AE515" s="14"/>
      <c r="AZ515" s="21"/>
      <c r="BA515" s="21"/>
      <c r="BB515" s="21"/>
      <c r="BC515" s="21"/>
      <c r="BD515" s="21"/>
      <c r="BE515" s="21"/>
      <c r="BF515" s="21"/>
      <c r="BG515" s="21"/>
      <c r="BI515" s="20"/>
      <c r="BJ515" s="20"/>
      <c r="BK515" s="20"/>
      <c r="BL515" s="20"/>
      <c r="BM515" s="7"/>
      <c r="BN515" s="7"/>
    </row>
    <row r="516">
      <c r="AE516" s="14"/>
      <c r="AZ516" s="21"/>
      <c r="BA516" s="21"/>
      <c r="BB516" s="21"/>
      <c r="BC516" s="21"/>
      <c r="BD516" s="21"/>
      <c r="BE516" s="21"/>
      <c r="BF516" s="21"/>
      <c r="BG516" s="21"/>
      <c r="BI516" s="20"/>
      <c r="BJ516" s="20"/>
      <c r="BK516" s="20"/>
      <c r="BL516" s="20"/>
      <c r="BM516" s="7"/>
      <c r="BN516" s="7"/>
    </row>
    <row r="517">
      <c r="AE517" s="14"/>
      <c r="AZ517" s="21"/>
      <c r="BA517" s="21"/>
      <c r="BB517" s="21"/>
      <c r="BC517" s="21"/>
      <c r="BD517" s="21"/>
      <c r="BE517" s="21"/>
      <c r="BF517" s="21"/>
      <c r="BG517" s="21"/>
      <c r="BI517" s="20"/>
      <c r="BJ517" s="20"/>
      <c r="BK517" s="20"/>
      <c r="BL517" s="20"/>
      <c r="BM517" s="7"/>
      <c r="BN517" s="7"/>
    </row>
    <row r="518">
      <c r="AE518" s="14"/>
      <c r="AZ518" s="21"/>
      <c r="BA518" s="21"/>
      <c r="BB518" s="21"/>
      <c r="BC518" s="21"/>
      <c r="BD518" s="21"/>
      <c r="BE518" s="21"/>
      <c r="BF518" s="21"/>
      <c r="BG518" s="21"/>
      <c r="BI518" s="20"/>
      <c r="BJ518" s="20"/>
      <c r="BK518" s="20"/>
      <c r="BL518" s="20"/>
      <c r="BM518" s="7"/>
      <c r="BN518" s="7"/>
    </row>
    <row r="519">
      <c r="AE519" s="14"/>
      <c r="AZ519" s="21"/>
      <c r="BA519" s="21"/>
      <c r="BB519" s="21"/>
      <c r="BC519" s="21"/>
      <c r="BD519" s="21"/>
      <c r="BE519" s="21"/>
      <c r="BF519" s="21"/>
      <c r="BG519" s="21"/>
      <c r="BI519" s="20"/>
      <c r="BJ519" s="20"/>
      <c r="BK519" s="20"/>
      <c r="BL519" s="20"/>
      <c r="BM519" s="7"/>
      <c r="BN519" s="7"/>
    </row>
    <row r="520">
      <c r="AE520" s="14"/>
      <c r="AZ520" s="21"/>
      <c r="BA520" s="21"/>
      <c r="BB520" s="21"/>
      <c r="BC520" s="21"/>
      <c r="BD520" s="21"/>
      <c r="BE520" s="21"/>
      <c r="BF520" s="21"/>
      <c r="BG520" s="21"/>
      <c r="BI520" s="20"/>
      <c r="BJ520" s="20"/>
      <c r="BK520" s="20"/>
      <c r="BL520" s="20"/>
      <c r="BM520" s="7"/>
      <c r="BN520" s="7"/>
    </row>
    <row r="521">
      <c r="AE521" s="14"/>
      <c r="AZ521" s="21"/>
      <c r="BA521" s="21"/>
      <c r="BB521" s="21"/>
      <c r="BC521" s="21"/>
      <c r="BD521" s="21"/>
      <c r="BE521" s="21"/>
      <c r="BF521" s="21"/>
      <c r="BG521" s="21"/>
      <c r="BI521" s="20"/>
      <c r="BJ521" s="20"/>
      <c r="BK521" s="20"/>
      <c r="BL521" s="20"/>
      <c r="BM521" s="7"/>
      <c r="BN521" s="7"/>
    </row>
    <row r="522">
      <c r="AE522" s="14"/>
      <c r="AZ522" s="21"/>
      <c r="BA522" s="21"/>
      <c r="BB522" s="21"/>
      <c r="BC522" s="21"/>
      <c r="BD522" s="21"/>
      <c r="BE522" s="21"/>
      <c r="BF522" s="21"/>
      <c r="BG522" s="21"/>
      <c r="BI522" s="20"/>
      <c r="BJ522" s="20"/>
      <c r="BK522" s="20"/>
      <c r="BL522" s="20"/>
      <c r="BM522" s="7"/>
      <c r="BN522" s="7"/>
    </row>
    <row r="523">
      <c r="AE523" s="14"/>
      <c r="AZ523" s="21"/>
      <c r="BA523" s="21"/>
      <c r="BB523" s="21"/>
      <c r="BC523" s="21"/>
      <c r="BD523" s="21"/>
      <c r="BE523" s="21"/>
      <c r="BF523" s="21"/>
      <c r="BG523" s="21"/>
      <c r="BI523" s="20"/>
      <c r="BJ523" s="20"/>
      <c r="BK523" s="20"/>
      <c r="BL523" s="20"/>
      <c r="BM523" s="7"/>
      <c r="BN523" s="7"/>
    </row>
    <row r="524">
      <c r="AE524" s="14"/>
      <c r="AZ524" s="21"/>
      <c r="BA524" s="21"/>
      <c r="BB524" s="21"/>
      <c r="BC524" s="21"/>
      <c r="BD524" s="21"/>
      <c r="BE524" s="21"/>
      <c r="BF524" s="21"/>
      <c r="BG524" s="21"/>
      <c r="BI524" s="20"/>
      <c r="BJ524" s="20"/>
      <c r="BK524" s="20"/>
      <c r="BL524" s="20"/>
      <c r="BM524" s="7"/>
      <c r="BN524" s="7"/>
    </row>
    <row r="525">
      <c r="AE525" s="14"/>
      <c r="AZ525" s="21"/>
      <c r="BA525" s="21"/>
      <c r="BB525" s="21"/>
      <c r="BC525" s="21"/>
      <c r="BD525" s="21"/>
      <c r="BE525" s="21"/>
      <c r="BF525" s="21"/>
      <c r="BG525" s="21"/>
      <c r="BI525" s="20"/>
      <c r="BJ525" s="20"/>
      <c r="BK525" s="20"/>
      <c r="BL525" s="20"/>
      <c r="BM525" s="7"/>
      <c r="BN525" s="7"/>
    </row>
    <row r="526">
      <c r="AE526" s="14"/>
      <c r="AZ526" s="21"/>
      <c r="BA526" s="21"/>
      <c r="BB526" s="21"/>
      <c r="BC526" s="21"/>
      <c r="BD526" s="21"/>
      <c r="BE526" s="21"/>
      <c r="BF526" s="21"/>
      <c r="BG526" s="21"/>
      <c r="BI526" s="20"/>
      <c r="BJ526" s="20"/>
      <c r="BK526" s="20"/>
      <c r="BL526" s="20"/>
      <c r="BM526" s="7"/>
      <c r="BN526" s="7"/>
    </row>
    <row r="527">
      <c r="AE527" s="14"/>
      <c r="AZ527" s="21"/>
      <c r="BA527" s="21"/>
      <c r="BB527" s="21"/>
      <c r="BC527" s="21"/>
      <c r="BD527" s="21"/>
      <c r="BE527" s="21"/>
      <c r="BF527" s="21"/>
      <c r="BG527" s="21"/>
      <c r="BI527" s="20"/>
      <c r="BJ527" s="20"/>
      <c r="BK527" s="20"/>
      <c r="BL527" s="20"/>
      <c r="BM527" s="7"/>
      <c r="BN527" s="7"/>
    </row>
    <row r="528">
      <c r="AE528" s="14"/>
      <c r="AZ528" s="21"/>
      <c r="BA528" s="21"/>
      <c r="BB528" s="21"/>
      <c r="BC528" s="21"/>
      <c r="BD528" s="21"/>
      <c r="BE528" s="21"/>
      <c r="BF528" s="21"/>
      <c r="BG528" s="21"/>
      <c r="BI528" s="20"/>
      <c r="BJ528" s="20"/>
      <c r="BK528" s="20"/>
      <c r="BL528" s="20"/>
      <c r="BM528" s="7"/>
      <c r="BN528" s="7"/>
    </row>
    <row r="529">
      <c r="AE529" s="14"/>
      <c r="AZ529" s="21"/>
      <c r="BA529" s="21"/>
      <c r="BB529" s="21"/>
      <c r="BC529" s="21"/>
      <c r="BD529" s="21"/>
      <c r="BE529" s="21"/>
      <c r="BF529" s="21"/>
      <c r="BG529" s="21"/>
      <c r="BI529" s="20"/>
      <c r="BJ529" s="20"/>
      <c r="BK529" s="20"/>
      <c r="BL529" s="20"/>
      <c r="BM529" s="7"/>
      <c r="BN529" s="7"/>
    </row>
    <row r="530">
      <c r="AE530" s="14"/>
      <c r="AZ530" s="21"/>
      <c r="BA530" s="21"/>
      <c r="BB530" s="21"/>
      <c r="BC530" s="21"/>
      <c r="BD530" s="21"/>
      <c r="BE530" s="21"/>
      <c r="BF530" s="21"/>
      <c r="BG530" s="21"/>
      <c r="BI530" s="20"/>
      <c r="BJ530" s="20"/>
      <c r="BK530" s="20"/>
      <c r="BL530" s="20"/>
      <c r="BM530" s="7"/>
      <c r="BN530" s="7"/>
    </row>
    <row r="531">
      <c r="AE531" s="14"/>
      <c r="AZ531" s="21"/>
      <c r="BA531" s="21"/>
      <c r="BB531" s="21"/>
      <c r="BC531" s="21"/>
      <c r="BD531" s="21"/>
      <c r="BE531" s="21"/>
      <c r="BF531" s="21"/>
      <c r="BG531" s="21"/>
      <c r="BI531" s="20"/>
      <c r="BJ531" s="20"/>
      <c r="BK531" s="20"/>
      <c r="BL531" s="20"/>
      <c r="BM531" s="7"/>
      <c r="BN531" s="7"/>
    </row>
    <row r="532">
      <c r="AE532" s="14"/>
      <c r="AZ532" s="21"/>
      <c r="BA532" s="21"/>
      <c r="BB532" s="21"/>
      <c r="BC532" s="21"/>
      <c r="BD532" s="21"/>
      <c r="BE532" s="21"/>
      <c r="BF532" s="21"/>
      <c r="BG532" s="21"/>
      <c r="BI532" s="20"/>
      <c r="BJ532" s="20"/>
      <c r="BK532" s="20"/>
      <c r="BL532" s="20"/>
      <c r="BM532" s="7"/>
      <c r="BN532" s="7"/>
    </row>
    <row r="533">
      <c r="AE533" s="14"/>
      <c r="AZ533" s="21"/>
      <c r="BA533" s="21"/>
      <c r="BB533" s="21"/>
      <c r="BC533" s="21"/>
      <c r="BD533" s="21"/>
      <c r="BE533" s="21"/>
      <c r="BF533" s="21"/>
      <c r="BG533" s="21"/>
      <c r="BI533" s="20"/>
      <c r="BJ533" s="20"/>
      <c r="BK533" s="20"/>
      <c r="BL533" s="20"/>
      <c r="BM533" s="7"/>
      <c r="BN533" s="7"/>
    </row>
    <row r="534">
      <c r="AE534" s="14"/>
      <c r="AZ534" s="21"/>
      <c r="BA534" s="21"/>
      <c r="BB534" s="21"/>
      <c r="BC534" s="21"/>
      <c r="BD534" s="21"/>
      <c r="BE534" s="21"/>
      <c r="BF534" s="21"/>
      <c r="BG534" s="21"/>
      <c r="BI534" s="20"/>
      <c r="BJ534" s="20"/>
      <c r="BK534" s="20"/>
      <c r="BL534" s="20"/>
      <c r="BM534" s="7"/>
      <c r="BN534" s="7"/>
    </row>
    <row r="535">
      <c r="AE535" s="14"/>
      <c r="AZ535" s="21"/>
      <c r="BA535" s="21"/>
      <c r="BB535" s="21"/>
      <c r="BC535" s="21"/>
      <c r="BD535" s="21"/>
      <c r="BE535" s="21"/>
      <c r="BF535" s="21"/>
      <c r="BG535" s="21"/>
      <c r="BI535" s="20"/>
      <c r="BJ535" s="20"/>
      <c r="BK535" s="20"/>
      <c r="BL535" s="20"/>
      <c r="BM535" s="7"/>
      <c r="BN535" s="7"/>
    </row>
    <row r="536">
      <c r="AE536" s="14"/>
      <c r="AZ536" s="21"/>
      <c r="BA536" s="21"/>
      <c r="BB536" s="21"/>
      <c r="BC536" s="21"/>
      <c r="BD536" s="21"/>
      <c r="BE536" s="21"/>
      <c r="BF536" s="21"/>
      <c r="BG536" s="21"/>
      <c r="BI536" s="20"/>
      <c r="BJ536" s="20"/>
      <c r="BK536" s="20"/>
      <c r="BL536" s="20"/>
      <c r="BM536" s="7"/>
      <c r="BN536" s="7"/>
    </row>
    <row r="537">
      <c r="AE537" s="14"/>
      <c r="AZ537" s="21"/>
      <c r="BA537" s="21"/>
      <c r="BB537" s="21"/>
      <c r="BC537" s="21"/>
      <c r="BD537" s="21"/>
      <c r="BE537" s="21"/>
      <c r="BF537" s="21"/>
      <c r="BG537" s="21"/>
      <c r="BI537" s="20"/>
      <c r="BJ537" s="20"/>
      <c r="BK537" s="20"/>
      <c r="BL537" s="20"/>
      <c r="BM537" s="7"/>
      <c r="BN537" s="7"/>
    </row>
    <row r="538">
      <c r="AE538" s="14"/>
      <c r="AZ538" s="21"/>
      <c r="BA538" s="21"/>
      <c r="BB538" s="21"/>
      <c r="BC538" s="21"/>
      <c r="BD538" s="21"/>
      <c r="BE538" s="21"/>
      <c r="BF538" s="21"/>
      <c r="BG538" s="21"/>
      <c r="BI538" s="20"/>
      <c r="BJ538" s="20"/>
      <c r="BK538" s="20"/>
      <c r="BL538" s="20"/>
      <c r="BM538" s="7"/>
      <c r="BN538" s="7"/>
    </row>
    <row r="539">
      <c r="AE539" s="14"/>
      <c r="AZ539" s="21"/>
      <c r="BA539" s="21"/>
      <c r="BB539" s="21"/>
      <c r="BC539" s="21"/>
      <c r="BD539" s="21"/>
      <c r="BE539" s="21"/>
      <c r="BF539" s="21"/>
      <c r="BG539" s="21"/>
      <c r="BI539" s="20"/>
      <c r="BJ539" s="20"/>
      <c r="BK539" s="20"/>
      <c r="BL539" s="20"/>
      <c r="BM539" s="7"/>
      <c r="BN539" s="7"/>
    </row>
    <row r="540">
      <c r="AE540" s="14"/>
      <c r="AZ540" s="21"/>
      <c r="BA540" s="21"/>
      <c r="BB540" s="21"/>
      <c r="BC540" s="21"/>
      <c r="BD540" s="21"/>
      <c r="BE540" s="21"/>
      <c r="BF540" s="21"/>
      <c r="BG540" s="21"/>
      <c r="BI540" s="20"/>
      <c r="BJ540" s="20"/>
      <c r="BK540" s="20"/>
      <c r="BL540" s="20"/>
      <c r="BM540" s="7"/>
      <c r="BN540" s="7"/>
    </row>
    <row r="541">
      <c r="AE541" s="14"/>
      <c r="AZ541" s="21"/>
      <c r="BA541" s="21"/>
      <c r="BB541" s="21"/>
      <c r="BC541" s="21"/>
      <c r="BD541" s="21"/>
      <c r="BE541" s="21"/>
      <c r="BF541" s="21"/>
      <c r="BG541" s="21"/>
      <c r="BI541" s="20"/>
      <c r="BJ541" s="20"/>
      <c r="BK541" s="20"/>
      <c r="BL541" s="20"/>
      <c r="BM541" s="7"/>
      <c r="BN541" s="7"/>
    </row>
    <row r="542">
      <c r="AE542" s="14"/>
      <c r="AZ542" s="21"/>
      <c r="BA542" s="21"/>
      <c r="BB542" s="21"/>
      <c r="BC542" s="21"/>
      <c r="BD542" s="21"/>
      <c r="BE542" s="21"/>
      <c r="BF542" s="21"/>
      <c r="BG542" s="21"/>
      <c r="BI542" s="20"/>
      <c r="BJ542" s="20"/>
      <c r="BK542" s="20"/>
      <c r="BL542" s="20"/>
      <c r="BM542" s="7"/>
      <c r="BN542" s="7"/>
    </row>
    <row r="543">
      <c r="AE543" s="14"/>
      <c r="AZ543" s="21"/>
      <c r="BA543" s="21"/>
      <c r="BB543" s="21"/>
      <c r="BC543" s="21"/>
      <c r="BD543" s="21"/>
      <c r="BE543" s="21"/>
      <c r="BF543" s="21"/>
      <c r="BG543" s="21"/>
      <c r="BI543" s="20"/>
      <c r="BJ543" s="20"/>
      <c r="BK543" s="20"/>
      <c r="BL543" s="20"/>
      <c r="BM543" s="7"/>
      <c r="BN543" s="7"/>
    </row>
    <row r="544">
      <c r="AE544" s="14"/>
      <c r="AZ544" s="21"/>
      <c r="BA544" s="21"/>
      <c r="BB544" s="21"/>
      <c r="BC544" s="21"/>
      <c r="BD544" s="21"/>
      <c r="BE544" s="21"/>
      <c r="BF544" s="21"/>
      <c r="BG544" s="21"/>
      <c r="BI544" s="20"/>
      <c r="BJ544" s="20"/>
      <c r="BK544" s="20"/>
      <c r="BL544" s="20"/>
      <c r="BM544" s="7"/>
      <c r="BN544" s="7"/>
    </row>
    <row r="545">
      <c r="AE545" s="14"/>
      <c r="AZ545" s="21"/>
      <c r="BA545" s="21"/>
      <c r="BB545" s="21"/>
      <c r="BC545" s="21"/>
      <c r="BD545" s="21"/>
      <c r="BE545" s="21"/>
      <c r="BF545" s="21"/>
      <c r="BG545" s="21"/>
      <c r="BI545" s="20"/>
      <c r="BJ545" s="20"/>
      <c r="BK545" s="20"/>
      <c r="BL545" s="20"/>
      <c r="BM545" s="7"/>
      <c r="BN545" s="7"/>
    </row>
    <row r="546">
      <c r="AE546" s="14"/>
      <c r="AZ546" s="21"/>
      <c r="BA546" s="21"/>
      <c r="BB546" s="21"/>
      <c r="BC546" s="21"/>
      <c r="BD546" s="21"/>
      <c r="BE546" s="21"/>
      <c r="BF546" s="21"/>
      <c r="BG546" s="21"/>
      <c r="BI546" s="20"/>
      <c r="BJ546" s="20"/>
      <c r="BK546" s="20"/>
      <c r="BL546" s="20"/>
      <c r="BM546" s="7"/>
      <c r="BN546" s="7"/>
    </row>
    <row r="547">
      <c r="AE547" s="14"/>
      <c r="AZ547" s="21"/>
      <c r="BA547" s="21"/>
      <c r="BB547" s="21"/>
      <c r="BC547" s="21"/>
      <c r="BD547" s="21"/>
      <c r="BE547" s="21"/>
      <c r="BF547" s="21"/>
      <c r="BG547" s="21"/>
      <c r="BI547" s="20"/>
      <c r="BJ547" s="20"/>
      <c r="BK547" s="20"/>
      <c r="BL547" s="20"/>
      <c r="BM547" s="7"/>
      <c r="BN547" s="7"/>
    </row>
    <row r="548">
      <c r="AE548" s="14"/>
      <c r="AZ548" s="21"/>
      <c r="BA548" s="21"/>
      <c r="BB548" s="21"/>
      <c r="BC548" s="21"/>
      <c r="BD548" s="21"/>
      <c r="BE548" s="21"/>
      <c r="BF548" s="21"/>
      <c r="BG548" s="21"/>
      <c r="BI548" s="20"/>
      <c r="BJ548" s="20"/>
      <c r="BK548" s="20"/>
      <c r="BL548" s="20"/>
      <c r="BM548" s="7"/>
      <c r="BN548" s="7"/>
    </row>
    <row r="549">
      <c r="AE549" s="14"/>
      <c r="AZ549" s="21"/>
      <c r="BA549" s="21"/>
      <c r="BB549" s="21"/>
      <c r="BC549" s="21"/>
      <c r="BD549" s="21"/>
      <c r="BE549" s="21"/>
      <c r="BF549" s="21"/>
      <c r="BG549" s="21"/>
      <c r="BI549" s="20"/>
      <c r="BJ549" s="20"/>
      <c r="BK549" s="20"/>
      <c r="BL549" s="20"/>
      <c r="BM549" s="7"/>
      <c r="BN549" s="7"/>
    </row>
    <row r="550">
      <c r="AE550" s="14"/>
      <c r="AZ550" s="21"/>
      <c r="BA550" s="21"/>
      <c r="BB550" s="21"/>
      <c r="BC550" s="21"/>
      <c r="BD550" s="21"/>
      <c r="BE550" s="21"/>
      <c r="BF550" s="21"/>
      <c r="BG550" s="21"/>
      <c r="BI550" s="20"/>
      <c r="BJ550" s="20"/>
      <c r="BK550" s="20"/>
      <c r="BL550" s="20"/>
      <c r="BM550" s="7"/>
      <c r="BN550" s="7"/>
    </row>
    <row r="551">
      <c r="AE551" s="14"/>
      <c r="AZ551" s="21"/>
      <c r="BA551" s="21"/>
      <c r="BB551" s="21"/>
      <c r="BC551" s="21"/>
      <c r="BD551" s="21"/>
      <c r="BE551" s="21"/>
      <c r="BF551" s="21"/>
      <c r="BG551" s="21"/>
      <c r="BI551" s="20"/>
      <c r="BJ551" s="20"/>
      <c r="BK551" s="20"/>
      <c r="BL551" s="20"/>
      <c r="BM551" s="7"/>
      <c r="BN551" s="7"/>
    </row>
    <row r="552">
      <c r="AE552" s="14"/>
      <c r="AZ552" s="21"/>
      <c r="BA552" s="21"/>
      <c r="BB552" s="21"/>
      <c r="BC552" s="21"/>
      <c r="BD552" s="21"/>
      <c r="BE552" s="21"/>
      <c r="BF552" s="21"/>
      <c r="BG552" s="21"/>
      <c r="BI552" s="20"/>
      <c r="BJ552" s="20"/>
      <c r="BK552" s="20"/>
      <c r="BL552" s="20"/>
      <c r="BM552" s="7"/>
      <c r="BN552" s="7"/>
    </row>
    <row r="553">
      <c r="AE553" s="14"/>
      <c r="AZ553" s="21"/>
      <c r="BA553" s="21"/>
      <c r="BB553" s="21"/>
      <c r="BC553" s="21"/>
      <c r="BD553" s="21"/>
      <c r="BE553" s="21"/>
      <c r="BF553" s="21"/>
      <c r="BG553" s="21"/>
      <c r="BI553" s="20"/>
      <c r="BJ553" s="20"/>
      <c r="BK553" s="20"/>
      <c r="BL553" s="20"/>
      <c r="BM553" s="7"/>
      <c r="BN553" s="7"/>
    </row>
    <row r="554">
      <c r="AE554" s="14"/>
      <c r="AZ554" s="21"/>
      <c r="BA554" s="21"/>
      <c r="BB554" s="21"/>
      <c r="BC554" s="21"/>
      <c r="BD554" s="21"/>
      <c r="BE554" s="21"/>
      <c r="BF554" s="21"/>
      <c r="BG554" s="21"/>
      <c r="BI554" s="20"/>
      <c r="BJ554" s="20"/>
      <c r="BK554" s="20"/>
      <c r="BL554" s="20"/>
      <c r="BM554" s="7"/>
      <c r="BN554" s="7"/>
    </row>
    <row r="555">
      <c r="AE555" s="14"/>
      <c r="AZ555" s="21"/>
      <c r="BA555" s="21"/>
      <c r="BB555" s="21"/>
      <c r="BC555" s="21"/>
      <c r="BD555" s="21"/>
      <c r="BE555" s="21"/>
      <c r="BF555" s="21"/>
      <c r="BG555" s="21"/>
      <c r="BI555" s="20"/>
      <c r="BJ555" s="20"/>
      <c r="BK555" s="20"/>
      <c r="BL555" s="20"/>
      <c r="BM555" s="7"/>
      <c r="BN555" s="7"/>
    </row>
    <row r="556">
      <c r="AE556" s="14"/>
      <c r="AZ556" s="21"/>
      <c r="BA556" s="21"/>
      <c r="BB556" s="21"/>
      <c r="BC556" s="21"/>
      <c r="BD556" s="21"/>
      <c r="BE556" s="21"/>
      <c r="BF556" s="21"/>
      <c r="BG556" s="21"/>
      <c r="BI556" s="20"/>
      <c r="BJ556" s="20"/>
      <c r="BK556" s="20"/>
      <c r="BL556" s="20"/>
      <c r="BM556" s="7"/>
      <c r="BN556" s="7"/>
    </row>
    <row r="557">
      <c r="AE557" s="14"/>
      <c r="AZ557" s="21"/>
      <c r="BA557" s="21"/>
      <c r="BB557" s="21"/>
      <c r="BC557" s="21"/>
      <c r="BD557" s="21"/>
      <c r="BE557" s="21"/>
      <c r="BF557" s="21"/>
      <c r="BG557" s="21"/>
      <c r="BI557" s="20"/>
      <c r="BJ557" s="20"/>
      <c r="BK557" s="20"/>
      <c r="BL557" s="20"/>
      <c r="BM557" s="7"/>
      <c r="BN557" s="7"/>
    </row>
    <row r="558">
      <c r="AE558" s="14"/>
      <c r="AZ558" s="21"/>
      <c r="BA558" s="21"/>
      <c r="BB558" s="21"/>
      <c r="BC558" s="21"/>
      <c r="BD558" s="21"/>
      <c r="BE558" s="21"/>
      <c r="BF558" s="21"/>
      <c r="BG558" s="21"/>
      <c r="BI558" s="20"/>
      <c r="BJ558" s="20"/>
      <c r="BK558" s="20"/>
      <c r="BL558" s="20"/>
      <c r="BM558" s="7"/>
      <c r="BN558" s="7"/>
    </row>
    <row r="559">
      <c r="AE559" s="14"/>
      <c r="AZ559" s="21"/>
      <c r="BA559" s="21"/>
      <c r="BB559" s="21"/>
      <c r="BC559" s="21"/>
      <c r="BD559" s="21"/>
      <c r="BE559" s="21"/>
      <c r="BF559" s="21"/>
      <c r="BG559" s="21"/>
      <c r="BI559" s="20"/>
      <c r="BJ559" s="20"/>
      <c r="BK559" s="20"/>
      <c r="BL559" s="20"/>
      <c r="BM559" s="7"/>
      <c r="BN559" s="7"/>
    </row>
    <row r="560">
      <c r="AE560" s="14"/>
      <c r="AZ560" s="21"/>
      <c r="BA560" s="21"/>
      <c r="BB560" s="21"/>
      <c r="BC560" s="21"/>
      <c r="BD560" s="21"/>
      <c r="BE560" s="21"/>
      <c r="BF560" s="21"/>
      <c r="BG560" s="21"/>
      <c r="BI560" s="20"/>
      <c r="BJ560" s="20"/>
      <c r="BK560" s="20"/>
      <c r="BL560" s="20"/>
      <c r="BM560" s="7"/>
      <c r="BN560" s="7"/>
    </row>
    <row r="561">
      <c r="AE561" s="14"/>
      <c r="AZ561" s="21"/>
      <c r="BA561" s="21"/>
      <c r="BB561" s="21"/>
      <c r="BC561" s="21"/>
      <c r="BD561" s="21"/>
      <c r="BE561" s="21"/>
      <c r="BF561" s="21"/>
      <c r="BG561" s="21"/>
      <c r="BI561" s="20"/>
      <c r="BJ561" s="20"/>
      <c r="BK561" s="20"/>
      <c r="BL561" s="20"/>
      <c r="BM561" s="7"/>
      <c r="BN561" s="7"/>
    </row>
    <row r="562">
      <c r="AE562" s="14"/>
      <c r="AZ562" s="21"/>
      <c r="BA562" s="21"/>
      <c r="BB562" s="21"/>
      <c r="BC562" s="21"/>
      <c r="BD562" s="21"/>
      <c r="BE562" s="21"/>
      <c r="BF562" s="21"/>
      <c r="BG562" s="21"/>
      <c r="BI562" s="20"/>
      <c r="BJ562" s="20"/>
      <c r="BK562" s="20"/>
      <c r="BL562" s="20"/>
      <c r="BM562" s="7"/>
      <c r="BN562" s="7"/>
    </row>
    <row r="563">
      <c r="AE563" s="14"/>
      <c r="AZ563" s="21"/>
      <c r="BA563" s="21"/>
      <c r="BB563" s="21"/>
      <c r="BC563" s="21"/>
      <c r="BD563" s="21"/>
      <c r="BE563" s="21"/>
      <c r="BF563" s="21"/>
      <c r="BG563" s="21"/>
      <c r="BI563" s="20"/>
      <c r="BJ563" s="20"/>
      <c r="BK563" s="20"/>
      <c r="BL563" s="20"/>
      <c r="BM563" s="7"/>
      <c r="BN563" s="7"/>
    </row>
    <row r="564">
      <c r="AE564" s="14"/>
      <c r="AZ564" s="21"/>
      <c r="BA564" s="21"/>
      <c r="BB564" s="21"/>
      <c r="BC564" s="21"/>
      <c r="BD564" s="21"/>
      <c r="BE564" s="21"/>
      <c r="BF564" s="21"/>
      <c r="BG564" s="21"/>
      <c r="BI564" s="20"/>
      <c r="BJ564" s="20"/>
      <c r="BK564" s="20"/>
      <c r="BL564" s="20"/>
      <c r="BM564" s="7"/>
      <c r="BN564" s="7"/>
    </row>
    <row r="565">
      <c r="AE565" s="14"/>
      <c r="AZ565" s="21"/>
      <c r="BA565" s="21"/>
      <c r="BB565" s="21"/>
      <c r="BC565" s="21"/>
      <c r="BD565" s="21"/>
      <c r="BE565" s="21"/>
      <c r="BF565" s="21"/>
      <c r="BG565" s="21"/>
      <c r="BI565" s="20"/>
      <c r="BJ565" s="20"/>
      <c r="BK565" s="20"/>
      <c r="BL565" s="20"/>
      <c r="BM565" s="7"/>
      <c r="BN565" s="7"/>
    </row>
    <row r="566">
      <c r="AE566" s="14"/>
      <c r="AZ566" s="21"/>
      <c r="BA566" s="21"/>
      <c r="BB566" s="21"/>
      <c r="BC566" s="21"/>
      <c r="BD566" s="21"/>
      <c r="BE566" s="21"/>
      <c r="BF566" s="21"/>
      <c r="BG566" s="21"/>
      <c r="BI566" s="20"/>
      <c r="BJ566" s="20"/>
      <c r="BK566" s="20"/>
      <c r="BL566" s="20"/>
      <c r="BM566" s="7"/>
      <c r="BN566" s="7"/>
    </row>
    <row r="567">
      <c r="AE567" s="14"/>
      <c r="AZ567" s="21"/>
      <c r="BA567" s="21"/>
      <c r="BB567" s="21"/>
      <c r="BC567" s="21"/>
      <c r="BD567" s="21"/>
      <c r="BE567" s="21"/>
      <c r="BF567" s="21"/>
      <c r="BG567" s="21"/>
      <c r="BI567" s="20"/>
      <c r="BJ567" s="20"/>
      <c r="BK567" s="20"/>
      <c r="BL567" s="20"/>
      <c r="BM567" s="7"/>
      <c r="BN567" s="7"/>
    </row>
    <row r="568">
      <c r="AE568" s="14"/>
      <c r="AZ568" s="21"/>
      <c r="BA568" s="21"/>
      <c r="BB568" s="21"/>
      <c r="BC568" s="21"/>
      <c r="BD568" s="21"/>
      <c r="BE568" s="21"/>
      <c r="BF568" s="21"/>
      <c r="BG568" s="21"/>
      <c r="BI568" s="20"/>
      <c r="BJ568" s="20"/>
      <c r="BK568" s="20"/>
      <c r="BL568" s="20"/>
      <c r="BM568" s="7"/>
      <c r="BN568" s="7"/>
    </row>
    <row r="569">
      <c r="AE569" s="14"/>
      <c r="AZ569" s="21"/>
      <c r="BA569" s="21"/>
      <c r="BB569" s="21"/>
      <c r="BC569" s="21"/>
      <c r="BD569" s="21"/>
      <c r="BE569" s="21"/>
      <c r="BF569" s="21"/>
      <c r="BG569" s="21"/>
      <c r="BI569" s="20"/>
      <c r="BJ569" s="20"/>
      <c r="BK569" s="20"/>
      <c r="BL569" s="20"/>
      <c r="BM569" s="7"/>
      <c r="BN569" s="7"/>
    </row>
    <row r="570">
      <c r="AE570" s="14"/>
      <c r="AZ570" s="21"/>
      <c r="BA570" s="21"/>
      <c r="BB570" s="21"/>
      <c r="BC570" s="21"/>
      <c r="BD570" s="21"/>
      <c r="BE570" s="21"/>
      <c r="BF570" s="21"/>
      <c r="BG570" s="21"/>
      <c r="BI570" s="20"/>
      <c r="BJ570" s="20"/>
      <c r="BK570" s="20"/>
      <c r="BL570" s="20"/>
      <c r="BM570" s="7"/>
      <c r="BN570" s="7"/>
    </row>
    <row r="571">
      <c r="AE571" s="14"/>
      <c r="AZ571" s="21"/>
      <c r="BA571" s="21"/>
      <c r="BB571" s="21"/>
      <c r="BC571" s="21"/>
      <c r="BD571" s="21"/>
      <c r="BE571" s="21"/>
      <c r="BF571" s="21"/>
      <c r="BG571" s="21"/>
      <c r="BI571" s="20"/>
      <c r="BJ571" s="20"/>
      <c r="BK571" s="20"/>
      <c r="BL571" s="20"/>
      <c r="BM571" s="7"/>
      <c r="BN571" s="7"/>
    </row>
    <row r="572">
      <c r="AE572" s="14"/>
      <c r="AZ572" s="21"/>
      <c r="BA572" s="21"/>
      <c r="BB572" s="21"/>
      <c r="BC572" s="21"/>
      <c r="BD572" s="21"/>
      <c r="BE572" s="21"/>
      <c r="BF572" s="21"/>
      <c r="BG572" s="21"/>
      <c r="BI572" s="20"/>
      <c r="BJ572" s="20"/>
      <c r="BK572" s="20"/>
      <c r="BL572" s="20"/>
      <c r="BM572" s="7"/>
      <c r="BN572" s="7"/>
    </row>
    <row r="573">
      <c r="AE573" s="14"/>
      <c r="AZ573" s="21"/>
      <c r="BA573" s="21"/>
      <c r="BB573" s="21"/>
      <c r="BC573" s="21"/>
      <c r="BD573" s="21"/>
      <c r="BE573" s="21"/>
      <c r="BF573" s="21"/>
      <c r="BG573" s="21"/>
      <c r="BI573" s="20"/>
      <c r="BJ573" s="20"/>
      <c r="BK573" s="20"/>
      <c r="BL573" s="20"/>
      <c r="BM573" s="7"/>
      <c r="BN573" s="7"/>
    </row>
    <row r="574">
      <c r="AE574" s="14"/>
      <c r="AZ574" s="21"/>
      <c r="BA574" s="21"/>
      <c r="BB574" s="21"/>
      <c r="BC574" s="21"/>
      <c r="BD574" s="21"/>
      <c r="BE574" s="21"/>
      <c r="BF574" s="21"/>
      <c r="BG574" s="21"/>
      <c r="BI574" s="20"/>
      <c r="BJ574" s="20"/>
      <c r="BK574" s="20"/>
      <c r="BL574" s="20"/>
      <c r="BM574" s="7"/>
      <c r="BN574" s="7"/>
    </row>
    <row r="575">
      <c r="AE575" s="14"/>
      <c r="AZ575" s="21"/>
      <c r="BA575" s="21"/>
      <c r="BB575" s="21"/>
      <c r="BC575" s="21"/>
      <c r="BD575" s="21"/>
      <c r="BE575" s="21"/>
      <c r="BF575" s="21"/>
      <c r="BG575" s="21"/>
      <c r="BI575" s="20"/>
      <c r="BJ575" s="20"/>
      <c r="BK575" s="20"/>
      <c r="BL575" s="20"/>
      <c r="BM575" s="7"/>
      <c r="BN575" s="7"/>
    </row>
    <row r="576">
      <c r="AE576" s="14"/>
      <c r="AZ576" s="21"/>
      <c r="BA576" s="21"/>
      <c r="BB576" s="21"/>
      <c r="BC576" s="21"/>
      <c r="BD576" s="21"/>
      <c r="BE576" s="21"/>
      <c r="BF576" s="21"/>
      <c r="BG576" s="21"/>
      <c r="BI576" s="20"/>
      <c r="BJ576" s="20"/>
      <c r="BK576" s="20"/>
      <c r="BL576" s="20"/>
      <c r="BM576" s="7"/>
      <c r="BN576" s="7"/>
    </row>
    <row r="577">
      <c r="AE577" s="14"/>
      <c r="AZ577" s="21"/>
      <c r="BA577" s="21"/>
      <c r="BB577" s="21"/>
      <c r="BC577" s="21"/>
      <c r="BD577" s="21"/>
      <c r="BE577" s="21"/>
      <c r="BF577" s="21"/>
      <c r="BG577" s="21"/>
      <c r="BI577" s="20"/>
      <c r="BJ577" s="20"/>
      <c r="BK577" s="20"/>
      <c r="BL577" s="20"/>
      <c r="BM577" s="7"/>
      <c r="BN577" s="7"/>
    </row>
    <row r="578">
      <c r="AE578" s="14"/>
      <c r="AZ578" s="21"/>
      <c r="BA578" s="21"/>
      <c r="BB578" s="21"/>
      <c r="BC578" s="21"/>
      <c r="BD578" s="21"/>
      <c r="BE578" s="21"/>
      <c r="BF578" s="21"/>
      <c r="BG578" s="21"/>
      <c r="BI578" s="20"/>
      <c r="BJ578" s="20"/>
      <c r="BK578" s="20"/>
      <c r="BL578" s="20"/>
      <c r="BM578" s="7"/>
      <c r="BN578" s="7"/>
    </row>
    <row r="579">
      <c r="AE579" s="14"/>
      <c r="AZ579" s="21"/>
      <c r="BA579" s="21"/>
      <c r="BB579" s="21"/>
      <c r="BC579" s="21"/>
      <c r="BD579" s="21"/>
      <c r="BE579" s="21"/>
      <c r="BF579" s="21"/>
      <c r="BG579" s="21"/>
      <c r="BI579" s="20"/>
      <c r="BJ579" s="20"/>
      <c r="BK579" s="20"/>
      <c r="BL579" s="20"/>
      <c r="BM579" s="7"/>
      <c r="BN579" s="7"/>
    </row>
    <row r="580">
      <c r="AE580" s="14"/>
      <c r="AZ580" s="21"/>
      <c r="BA580" s="21"/>
      <c r="BB580" s="21"/>
      <c r="BC580" s="21"/>
      <c r="BD580" s="21"/>
      <c r="BE580" s="21"/>
      <c r="BF580" s="21"/>
      <c r="BG580" s="21"/>
      <c r="BI580" s="20"/>
      <c r="BJ580" s="20"/>
      <c r="BK580" s="20"/>
      <c r="BL580" s="20"/>
      <c r="BM580" s="7"/>
      <c r="BN580" s="7"/>
    </row>
    <row r="581">
      <c r="AE581" s="14"/>
      <c r="AZ581" s="21"/>
      <c r="BA581" s="21"/>
      <c r="BB581" s="21"/>
      <c r="BC581" s="21"/>
      <c r="BD581" s="21"/>
      <c r="BE581" s="21"/>
      <c r="BF581" s="21"/>
      <c r="BG581" s="21"/>
      <c r="BI581" s="20"/>
      <c r="BJ581" s="20"/>
      <c r="BK581" s="20"/>
      <c r="BL581" s="20"/>
      <c r="BM581" s="7"/>
      <c r="BN581" s="7"/>
    </row>
    <row r="582">
      <c r="AE582" s="14"/>
      <c r="AZ582" s="21"/>
      <c r="BA582" s="21"/>
      <c r="BB582" s="21"/>
      <c r="BC582" s="21"/>
      <c r="BD582" s="21"/>
      <c r="BE582" s="21"/>
      <c r="BF582" s="21"/>
      <c r="BG582" s="21"/>
      <c r="BI582" s="20"/>
      <c r="BJ582" s="20"/>
      <c r="BK582" s="20"/>
      <c r="BL582" s="20"/>
      <c r="BM582" s="7"/>
      <c r="BN582" s="7"/>
    </row>
    <row r="583">
      <c r="AE583" s="14"/>
      <c r="AZ583" s="21"/>
      <c r="BA583" s="21"/>
      <c r="BB583" s="21"/>
      <c r="BC583" s="21"/>
      <c r="BD583" s="21"/>
      <c r="BE583" s="21"/>
      <c r="BF583" s="21"/>
      <c r="BG583" s="21"/>
      <c r="BI583" s="20"/>
      <c r="BJ583" s="20"/>
      <c r="BK583" s="20"/>
      <c r="BL583" s="20"/>
      <c r="BM583" s="7"/>
      <c r="BN583" s="7"/>
    </row>
    <row r="584">
      <c r="AE584" s="14"/>
      <c r="AZ584" s="21"/>
      <c r="BA584" s="21"/>
      <c r="BB584" s="21"/>
      <c r="BC584" s="21"/>
      <c r="BD584" s="21"/>
      <c r="BE584" s="21"/>
      <c r="BF584" s="21"/>
      <c r="BG584" s="21"/>
      <c r="BI584" s="20"/>
      <c r="BJ584" s="20"/>
      <c r="BK584" s="20"/>
      <c r="BL584" s="20"/>
      <c r="BM584" s="7"/>
      <c r="BN584" s="7"/>
    </row>
    <row r="585">
      <c r="AE585" s="14"/>
      <c r="AZ585" s="21"/>
      <c r="BA585" s="21"/>
      <c r="BB585" s="21"/>
      <c r="BC585" s="21"/>
      <c r="BD585" s="21"/>
      <c r="BE585" s="21"/>
      <c r="BF585" s="21"/>
      <c r="BG585" s="21"/>
      <c r="BI585" s="20"/>
      <c r="BJ585" s="20"/>
      <c r="BK585" s="20"/>
      <c r="BL585" s="20"/>
      <c r="BM585" s="7"/>
      <c r="BN585" s="7"/>
    </row>
    <row r="586">
      <c r="AE586" s="14"/>
      <c r="AZ586" s="21"/>
      <c r="BA586" s="21"/>
      <c r="BB586" s="21"/>
      <c r="BC586" s="21"/>
      <c r="BD586" s="21"/>
      <c r="BE586" s="21"/>
      <c r="BF586" s="21"/>
      <c r="BG586" s="21"/>
      <c r="BI586" s="20"/>
      <c r="BJ586" s="20"/>
      <c r="BK586" s="20"/>
      <c r="BL586" s="20"/>
      <c r="BM586" s="7"/>
      <c r="BN586" s="7"/>
    </row>
    <row r="587">
      <c r="AE587" s="14"/>
      <c r="AZ587" s="21"/>
      <c r="BA587" s="21"/>
      <c r="BB587" s="21"/>
      <c r="BC587" s="21"/>
      <c r="BD587" s="21"/>
      <c r="BE587" s="21"/>
      <c r="BF587" s="21"/>
      <c r="BG587" s="21"/>
      <c r="BI587" s="20"/>
      <c r="BJ587" s="20"/>
      <c r="BK587" s="20"/>
      <c r="BL587" s="20"/>
      <c r="BM587" s="7"/>
      <c r="BN587" s="7"/>
    </row>
    <row r="588">
      <c r="AE588" s="14"/>
      <c r="AZ588" s="21"/>
      <c r="BA588" s="21"/>
      <c r="BB588" s="21"/>
      <c r="BC588" s="21"/>
      <c r="BD588" s="21"/>
      <c r="BE588" s="21"/>
      <c r="BF588" s="21"/>
      <c r="BG588" s="21"/>
      <c r="BI588" s="20"/>
      <c r="BJ588" s="20"/>
      <c r="BK588" s="20"/>
      <c r="BL588" s="20"/>
      <c r="BM588" s="7"/>
      <c r="BN588" s="7"/>
    </row>
    <row r="589">
      <c r="AE589" s="14"/>
      <c r="AZ589" s="21"/>
      <c r="BA589" s="21"/>
      <c r="BB589" s="21"/>
      <c r="BC589" s="21"/>
      <c r="BD589" s="21"/>
      <c r="BE589" s="21"/>
      <c r="BF589" s="21"/>
      <c r="BG589" s="21"/>
      <c r="BI589" s="20"/>
      <c r="BJ589" s="20"/>
      <c r="BK589" s="20"/>
      <c r="BL589" s="20"/>
      <c r="BM589" s="7"/>
      <c r="BN589" s="7"/>
    </row>
    <row r="590">
      <c r="AE590" s="14"/>
      <c r="AZ590" s="21"/>
      <c r="BA590" s="21"/>
      <c r="BB590" s="21"/>
      <c r="BC590" s="21"/>
      <c r="BD590" s="21"/>
      <c r="BE590" s="21"/>
      <c r="BF590" s="21"/>
      <c r="BG590" s="21"/>
      <c r="BI590" s="20"/>
      <c r="BJ590" s="20"/>
      <c r="BK590" s="20"/>
      <c r="BL590" s="20"/>
      <c r="BM590" s="7"/>
      <c r="BN590" s="7"/>
    </row>
    <row r="591">
      <c r="AE591" s="14"/>
      <c r="AZ591" s="21"/>
      <c r="BA591" s="21"/>
      <c r="BB591" s="21"/>
      <c r="BC591" s="21"/>
      <c r="BD591" s="21"/>
      <c r="BE591" s="21"/>
      <c r="BF591" s="21"/>
      <c r="BG591" s="21"/>
      <c r="BI591" s="20"/>
      <c r="BJ591" s="20"/>
      <c r="BK591" s="20"/>
      <c r="BL591" s="20"/>
      <c r="BM591" s="7"/>
      <c r="BN591" s="7"/>
    </row>
    <row r="592">
      <c r="AE592" s="14"/>
      <c r="AZ592" s="21"/>
      <c r="BA592" s="21"/>
      <c r="BB592" s="21"/>
      <c r="BC592" s="21"/>
      <c r="BD592" s="21"/>
      <c r="BE592" s="21"/>
      <c r="BF592" s="21"/>
      <c r="BG592" s="21"/>
      <c r="BI592" s="20"/>
      <c r="BJ592" s="20"/>
      <c r="BK592" s="20"/>
      <c r="BL592" s="20"/>
      <c r="BM592" s="7"/>
      <c r="BN592" s="7"/>
    </row>
    <row r="593">
      <c r="AE593" s="14"/>
      <c r="AZ593" s="21"/>
      <c r="BA593" s="21"/>
      <c r="BB593" s="21"/>
      <c r="BC593" s="21"/>
      <c r="BD593" s="21"/>
      <c r="BE593" s="21"/>
      <c r="BF593" s="21"/>
      <c r="BG593" s="21"/>
      <c r="BI593" s="20"/>
      <c r="BJ593" s="20"/>
      <c r="BK593" s="20"/>
      <c r="BL593" s="20"/>
      <c r="BM593" s="7"/>
      <c r="BN593" s="7"/>
    </row>
    <row r="594">
      <c r="AE594" s="14"/>
      <c r="AZ594" s="21"/>
      <c r="BA594" s="21"/>
      <c r="BB594" s="21"/>
      <c r="BC594" s="21"/>
      <c r="BD594" s="21"/>
      <c r="BE594" s="21"/>
      <c r="BF594" s="21"/>
      <c r="BG594" s="21"/>
      <c r="BI594" s="20"/>
      <c r="BJ594" s="20"/>
      <c r="BK594" s="20"/>
      <c r="BL594" s="20"/>
      <c r="BM594" s="7"/>
      <c r="BN594" s="7"/>
    </row>
    <row r="595">
      <c r="AE595" s="14"/>
      <c r="AZ595" s="21"/>
      <c r="BA595" s="21"/>
      <c r="BB595" s="21"/>
      <c r="BC595" s="21"/>
      <c r="BD595" s="21"/>
      <c r="BE595" s="21"/>
      <c r="BF595" s="21"/>
      <c r="BG595" s="21"/>
      <c r="BI595" s="20"/>
      <c r="BJ595" s="20"/>
      <c r="BK595" s="20"/>
      <c r="BL595" s="20"/>
      <c r="BM595" s="7"/>
      <c r="BN595" s="7"/>
    </row>
    <row r="596">
      <c r="AE596" s="14"/>
      <c r="AZ596" s="21"/>
      <c r="BA596" s="21"/>
      <c r="BB596" s="21"/>
      <c r="BC596" s="21"/>
      <c r="BD596" s="21"/>
      <c r="BE596" s="21"/>
      <c r="BF596" s="21"/>
      <c r="BG596" s="21"/>
      <c r="BI596" s="20"/>
      <c r="BJ596" s="20"/>
      <c r="BK596" s="20"/>
      <c r="BL596" s="20"/>
      <c r="BM596" s="7"/>
      <c r="BN596" s="7"/>
    </row>
    <row r="597">
      <c r="AE597" s="14"/>
      <c r="AZ597" s="21"/>
      <c r="BA597" s="21"/>
      <c r="BB597" s="21"/>
      <c r="BC597" s="21"/>
      <c r="BD597" s="21"/>
      <c r="BE597" s="21"/>
      <c r="BF597" s="21"/>
      <c r="BG597" s="21"/>
      <c r="BI597" s="20"/>
      <c r="BJ597" s="20"/>
      <c r="BK597" s="20"/>
      <c r="BL597" s="20"/>
      <c r="BM597" s="7"/>
      <c r="BN597" s="7"/>
    </row>
    <row r="598">
      <c r="AE598" s="14"/>
      <c r="AZ598" s="21"/>
      <c r="BA598" s="21"/>
      <c r="BB598" s="21"/>
      <c r="BC598" s="21"/>
      <c r="BD598" s="21"/>
      <c r="BE598" s="21"/>
      <c r="BF598" s="21"/>
      <c r="BG598" s="21"/>
      <c r="BI598" s="20"/>
      <c r="BJ598" s="20"/>
      <c r="BK598" s="20"/>
      <c r="BL598" s="20"/>
      <c r="BM598" s="7"/>
      <c r="BN598" s="7"/>
    </row>
    <row r="599">
      <c r="AE599" s="14"/>
      <c r="AZ599" s="21"/>
      <c r="BA599" s="21"/>
      <c r="BB599" s="21"/>
      <c r="BC599" s="21"/>
      <c r="BD599" s="21"/>
      <c r="BE599" s="21"/>
      <c r="BF599" s="21"/>
      <c r="BG599" s="21"/>
      <c r="BI599" s="20"/>
      <c r="BJ599" s="20"/>
      <c r="BK599" s="20"/>
      <c r="BL599" s="20"/>
      <c r="BM599" s="7"/>
      <c r="BN599" s="7"/>
    </row>
    <row r="600">
      <c r="AE600" s="14"/>
      <c r="AZ600" s="21"/>
      <c r="BA600" s="21"/>
      <c r="BB600" s="21"/>
      <c r="BC600" s="21"/>
      <c r="BD600" s="21"/>
      <c r="BE600" s="21"/>
      <c r="BF600" s="21"/>
      <c r="BG600" s="21"/>
      <c r="BI600" s="20"/>
      <c r="BJ600" s="20"/>
      <c r="BK600" s="20"/>
      <c r="BL600" s="20"/>
      <c r="BM600" s="7"/>
      <c r="BN600" s="7"/>
    </row>
    <row r="601">
      <c r="AE601" s="14"/>
      <c r="AZ601" s="21"/>
      <c r="BA601" s="21"/>
      <c r="BB601" s="21"/>
      <c r="BC601" s="21"/>
      <c r="BD601" s="21"/>
      <c r="BE601" s="21"/>
      <c r="BF601" s="21"/>
      <c r="BG601" s="21"/>
      <c r="BI601" s="20"/>
      <c r="BJ601" s="20"/>
      <c r="BK601" s="20"/>
      <c r="BL601" s="20"/>
      <c r="BM601" s="7"/>
      <c r="BN601" s="7"/>
    </row>
    <row r="602">
      <c r="AE602" s="14"/>
      <c r="AZ602" s="21"/>
      <c r="BA602" s="21"/>
      <c r="BB602" s="21"/>
      <c r="BC602" s="21"/>
      <c r="BD602" s="21"/>
      <c r="BE602" s="21"/>
      <c r="BF602" s="21"/>
      <c r="BG602" s="21"/>
      <c r="BI602" s="20"/>
      <c r="BJ602" s="20"/>
      <c r="BK602" s="20"/>
      <c r="BL602" s="20"/>
      <c r="BM602" s="7"/>
      <c r="BN602" s="7"/>
    </row>
    <row r="603">
      <c r="AE603" s="14"/>
      <c r="AZ603" s="21"/>
      <c r="BA603" s="21"/>
      <c r="BB603" s="21"/>
      <c r="BC603" s="21"/>
      <c r="BD603" s="21"/>
      <c r="BE603" s="21"/>
      <c r="BF603" s="21"/>
      <c r="BG603" s="21"/>
      <c r="BI603" s="20"/>
      <c r="BJ603" s="20"/>
      <c r="BK603" s="20"/>
      <c r="BL603" s="20"/>
      <c r="BM603" s="7"/>
      <c r="BN603" s="7"/>
    </row>
    <row r="604">
      <c r="AE604" s="14"/>
      <c r="AZ604" s="21"/>
      <c r="BA604" s="21"/>
      <c r="BB604" s="21"/>
      <c r="BC604" s="21"/>
      <c r="BD604" s="21"/>
      <c r="BE604" s="21"/>
      <c r="BF604" s="21"/>
      <c r="BG604" s="21"/>
      <c r="BI604" s="20"/>
      <c r="BJ604" s="20"/>
      <c r="BK604" s="20"/>
      <c r="BL604" s="20"/>
      <c r="BM604" s="7"/>
      <c r="BN604" s="7"/>
    </row>
    <row r="605">
      <c r="AE605" s="14"/>
      <c r="AZ605" s="21"/>
      <c r="BA605" s="21"/>
      <c r="BB605" s="21"/>
      <c r="BC605" s="21"/>
      <c r="BD605" s="21"/>
      <c r="BE605" s="21"/>
      <c r="BF605" s="21"/>
      <c r="BG605" s="21"/>
      <c r="BI605" s="20"/>
      <c r="BJ605" s="20"/>
      <c r="BK605" s="20"/>
      <c r="BL605" s="20"/>
      <c r="BM605" s="7"/>
      <c r="BN605" s="7"/>
    </row>
    <row r="606">
      <c r="AE606" s="14"/>
      <c r="AZ606" s="21"/>
      <c r="BA606" s="21"/>
      <c r="BB606" s="21"/>
      <c r="BC606" s="21"/>
      <c r="BD606" s="21"/>
      <c r="BE606" s="21"/>
      <c r="BF606" s="21"/>
      <c r="BG606" s="21"/>
      <c r="BI606" s="20"/>
      <c r="BJ606" s="20"/>
      <c r="BK606" s="20"/>
      <c r="BL606" s="20"/>
      <c r="BM606" s="7"/>
      <c r="BN606" s="7"/>
    </row>
    <row r="607">
      <c r="AE607" s="14"/>
      <c r="AZ607" s="21"/>
      <c r="BA607" s="21"/>
      <c r="BB607" s="21"/>
      <c r="BC607" s="21"/>
      <c r="BD607" s="21"/>
      <c r="BE607" s="21"/>
      <c r="BF607" s="21"/>
      <c r="BG607" s="21"/>
      <c r="BI607" s="20"/>
      <c r="BJ607" s="20"/>
      <c r="BK607" s="20"/>
      <c r="BL607" s="20"/>
      <c r="BM607" s="7"/>
      <c r="BN607" s="7"/>
    </row>
    <row r="608">
      <c r="AE608" s="14"/>
      <c r="AZ608" s="21"/>
      <c r="BA608" s="21"/>
      <c r="BB608" s="21"/>
      <c r="BC608" s="21"/>
      <c r="BD608" s="21"/>
      <c r="BE608" s="21"/>
      <c r="BF608" s="21"/>
      <c r="BG608" s="21"/>
      <c r="BI608" s="20"/>
      <c r="BJ608" s="20"/>
      <c r="BK608" s="20"/>
      <c r="BL608" s="20"/>
      <c r="BM608" s="7"/>
      <c r="BN608" s="7"/>
    </row>
    <row r="609">
      <c r="AE609" s="14"/>
      <c r="AZ609" s="21"/>
      <c r="BA609" s="21"/>
      <c r="BB609" s="21"/>
      <c r="BC609" s="21"/>
      <c r="BD609" s="21"/>
      <c r="BE609" s="21"/>
      <c r="BF609" s="21"/>
      <c r="BG609" s="21"/>
      <c r="BI609" s="20"/>
      <c r="BJ609" s="20"/>
      <c r="BK609" s="20"/>
      <c r="BL609" s="20"/>
      <c r="BM609" s="7"/>
      <c r="BN609" s="7"/>
    </row>
    <row r="610">
      <c r="AE610" s="14"/>
      <c r="AZ610" s="21"/>
      <c r="BA610" s="21"/>
      <c r="BB610" s="21"/>
      <c r="BC610" s="21"/>
      <c r="BD610" s="21"/>
      <c r="BE610" s="21"/>
      <c r="BF610" s="21"/>
      <c r="BG610" s="21"/>
      <c r="BI610" s="20"/>
      <c r="BJ610" s="20"/>
      <c r="BK610" s="20"/>
      <c r="BL610" s="20"/>
      <c r="BM610" s="7"/>
      <c r="BN610" s="7"/>
    </row>
    <row r="611">
      <c r="AE611" s="14"/>
      <c r="AZ611" s="21"/>
      <c r="BA611" s="21"/>
      <c r="BB611" s="21"/>
      <c r="BC611" s="21"/>
      <c r="BD611" s="21"/>
      <c r="BE611" s="21"/>
      <c r="BF611" s="21"/>
      <c r="BG611" s="21"/>
      <c r="BI611" s="20"/>
      <c r="BJ611" s="20"/>
      <c r="BK611" s="20"/>
      <c r="BL611" s="20"/>
      <c r="BM611" s="7"/>
      <c r="BN611" s="7"/>
    </row>
    <row r="612">
      <c r="AE612" s="14"/>
      <c r="AZ612" s="21"/>
      <c r="BA612" s="21"/>
      <c r="BB612" s="21"/>
      <c r="BC612" s="21"/>
      <c r="BD612" s="21"/>
      <c r="BE612" s="21"/>
      <c r="BF612" s="21"/>
      <c r="BG612" s="21"/>
      <c r="BI612" s="20"/>
      <c r="BJ612" s="20"/>
      <c r="BK612" s="20"/>
      <c r="BL612" s="20"/>
      <c r="BM612" s="7"/>
      <c r="BN612" s="7"/>
    </row>
    <row r="613">
      <c r="AE613" s="14"/>
      <c r="AZ613" s="21"/>
      <c r="BA613" s="21"/>
      <c r="BB613" s="21"/>
      <c r="BC613" s="21"/>
      <c r="BD613" s="21"/>
      <c r="BE613" s="21"/>
      <c r="BF613" s="21"/>
      <c r="BG613" s="21"/>
      <c r="BI613" s="20"/>
      <c r="BJ613" s="20"/>
      <c r="BK613" s="20"/>
      <c r="BL613" s="20"/>
      <c r="BM613" s="7"/>
      <c r="BN613" s="7"/>
    </row>
    <row r="614">
      <c r="AE614" s="14"/>
      <c r="AZ614" s="21"/>
      <c r="BA614" s="21"/>
      <c r="BB614" s="21"/>
      <c r="BC614" s="21"/>
      <c r="BD614" s="21"/>
      <c r="BE614" s="21"/>
      <c r="BF614" s="21"/>
      <c r="BG614" s="21"/>
      <c r="BI614" s="20"/>
      <c r="BJ614" s="20"/>
      <c r="BK614" s="20"/>
      <c r="BL614" s="20"/>
      <c r="BM614" s="7"/>
      <c r="BN614" s="7"/>
    </row>
    <row r="615">
      <c r="AE615" s="14"/>
      <c r="AZ615" s="21"/>
      <c r="BA615" s="21"/>
      <c r="BB615" s="21"/>
      <c r="BC615" s="21"/>
      <c r="BD615" s="21"/>
      <c r="BE615" s="21"/>
      <c r="BF615" s="21"/>
      <c r="BG615" s="21"/>
      <c r="BI615" s="20"/>
      <c r="BJ615" s="20"/>
      <c r="BK615" s="20"/>
      <c r="BL615" s="20"/>
      <c r="BM615" s="7"/>
      <c r="BN615" s="7"/>
    </row>
    <row r="616">
      <c r="AE616" s="14"/>
      <c r="AZ616" s="21"/>
      <c r="BA616" s="21"/>
      <c r="BB616" s="21"/>
      <c r="BC616" s="21"/>
      <c r="BD616" s="21"/>
      <c r="BE616" s="21"/>
      <c r="BF616" s="21"/>
      <c r="BG616" s="21"/>
      <c r="BI616" s="20"/>
      <c r="BJ616" s="20"/>
      <c r="BK616" s="20"/>
      <c r="BL616" s="20"/>
      <c r="BM616" s="7"/>
      <c r="BN616" s="7"/>
    </row>
    <row r="617">
      <c r="AE617" s="14"/>
      <c r="AZ617" s="21"/>
      <c r="BA617" s="21"/>
      <c r="BB617" s="21"/>
      <c r="BC617" s="21"/>
      <c r="BD617" s="21"/>
      <c r="BE617" s="21"/>
      <c r="BF617" s="21"/>
      <c r="BG617" s="21"/>
      <c r="BI617" s="20"/>
      <c r="BJ617" s="20"/>
      <c r="BK617" s="20"/>
      <c r="BL617" s="20"/>
      <c r="BM617" s="7"/>
      <c r="BN617" s="7"/>
    </row>
    <row r="618">
      <c r="AE618" s="14"/>
      <c r="AZ618" s="21"/>
      <c r="BA618" s="21"/>
      <c r="BB618" s="21"/>
      <c r="BC618" s="21"/>
      <c r="BD618" s="21"/>
      <c r="BE618" s="21"/>
      <c r="BF618" s="21"/>
      <c r="BG618" s="21"/>
      <c r="BI618" s="20"/>
      <c r="BJ618" s="20"/>
      <c r="BK618" s="20"/>
      <c r="BL618" s="20"/>
      <c r="BM618" s="7"/>
      <c r="BN618" s="7"/>
    </row>
    <row r="619">
      <c r="AE619" s="14"/>
      <c r="AZ619" s="21"/>
      <c r="BA619" s="21"/>
      <c r="BB619" s="21"/>
      <c r="BC619" s="21"/>
      <c r="BD619" s="21"/>
      <c r="BE619" s="21"/>
      <c r="BF619" s="21"/>
      <c r="BG619" s="21"/>
      <c r="BI619" s="20"/>
      <c r="BJ619" s="20"/>
      <c r="BK619" s="20"/>
      <c r="BL619" s="20"/>
      <c r="BM619" s="7"/>
      <c r="BN619" s="7"/>
    </row>
    <row r="620">
      <c r="AE620" s="14"/>
      <c r="AZ620" s="21"/>
      <c r="BA620" s="21"/>
      <c r="BB620" s="21"/>
      <c r="BC620" s="21"/>
      <c r="BD620" s="21"/>
      <c r="BE620" s="21"/>
      <c r="BF620" s="21"/>
      <c r="BG620" s="21"/>
      <c r="BI620" s="20"/>
      <c r="BJ620" s="20"/>
      <c r="BK620" s="20"/>
      <c r="BL620" s="20"/>
      <c r="BM620" s="7"/>
      <c r="BN620" s="7"/>
    </row>
    <row r="621">
      <c r="AE621" s="14"/>
      <c r="AZ621" s="21"/>
      <c r="BA621" s="21"/>
      <c r="BB621" s="21"/>
      <c r="BC621" s="21"/>
      <c r="BD621" s="21"/>
      <c r="BE621" s="21"/>
      <c r="BF621" s="21"/>
      <c r="BG621" s="21"/>
      <c r="BI621" s="20"/>
      <c r="BJ621" s="20"/>
      <c r="BK621" s="20"/>
      <c r="BL621" s="20"/>
      <c r="BM621" s="7"/>
      <c r="BN621" s="7"/>
    </row>
    <row r="622">
      <c r="AE622" s="14"/>
      <c r="AZ622" s="21"/>
      <c r="BA622" s="21"/>
      <c r="BB622" s="21"/>
      <c r="BC622" s="21"/>
      <c r="BD622" s="21"/>
      <c r="BE622" s="21"/>
      <c r="BF622" s="21"/>
      <c r="BG622" s="21"/>
      <c r="BI622" s="20"/>
      <c r="BJ622" s="20"/>
      <c r="BK622" s="20"/>
      <c r="BL622" s="20"/>
      <c r="BM622" s="7"/>
      <c r="BN622" s="7"/>
    </row>
    <row r="623">
      <c r="AE623" s="14"/>
      <c r="AZ623" s="21"/>
      <c r="BA623" s="21"/>
      <c r="BB623" s="21"/>
      <c r="BC623" s="21"/>
      <c r="BD623" s="21"/>
      <c r="BE623" s="21"/>
      <c r="BF623" s="21"/>
      <c r="BG623" s="21"/>
      <c r="BI623" s="20"/>
      <c r="BJ623" s="20"/>
      <c r="BK623" s="20"/>
      <c r="BL623" s="20"/>
      <c r="BM623" s="7"/>
      <c r="BN623" s="7"/>
    </row>
    <row r="624">
      <c r="AE624" s="14"/>
      <c r="AZ624" s="21"/>
      <c r="BA624" s="21"/>
      <c r="BB624" s="21"/>
      <c r="BC624" s="21"/>
      <c r="BD624" s="21"/>
      <c r="BE624" s="21"/>
      <c r="BF624" s="21"/>
      <c r="BG624" s="21"/>
      <c r="BI624" s="20"/>
      <c r="BJ624" s="20"/>
      <c r="BK624" s="20"/>
      <c r="BL624" s="20"/>
      <c r="BM624" s="7"/>
      <c r="BN624" s="7"/>
    </row>
    <row r="625">
      <c r="AE625" s="14"/>
      <c r="AZ625" s="21"/>
      <c r="BA625" s="21"/>
      <c r="BB625" s="21"/>
      <c r="BC625" s="21"/>
      <c r="BD625" s="21"/>
      <c r="BE625" s="21"/>
      <c r="BF625" s="21"/>
      <c r="BG625" s="21"/>
      <c r="BI625" s="20"/>
      <c r="BJ625" s="20"/>
      <c r="BK625" s="20"/>
      <c r="BL625" s="20"/>
      <c r="BM625" s="7"/>
      <c r="BN625" s="7"/>
    </row>
    <row r="626">
      <c r="AE626" s="14"/>
      <c r="AZ626" s="21"/>
      <c r="BA626" s="21"/>
      <c r="BB626" s="21"/>
      <c r="BC626" s="21"/>
      <c r="BD626" s="21"/>
      <c r="BE626" s="21"/>
      <c r="BF626" s="21"/>
      <c r="BG626" s="21"/>
      <c r="BI626" s="20"/>
      <c r="BJ626" s="20"/>
      <c r="BK626" s="20"/>
      <c r="BL626" s="20"/>
      <c r="BM626" s="7"/>
      <c r="BN626" s="7"/>
    </row>
    <row r="627">
      <c r="AE627" s="14"/>
      <c r="AZ627" s="21"/>
      <c r="BA627" s="21"/>
      <c r="BB627" s="21"/>
      <c r="BC627" s="21"/>
      <c r="BD627" s="21"/>
      <c r="BE627" s="21"/>
      <c r="BF627" s="21"/>
      <c r="BG627" s="21"/>
      <c r="BI627" s="20"/>
      <c r="BJ627" s="20"/>
      <c r="BK627" s="20"/>
      <c r="BL627" s="20"/>
      <c r="BM627" s="7"/>
      <c r="BN627" s="7"/>
    </row>
    <row r="628">
      <c r="AE628" s="14"/>
      <c r="AZ628" s="21"/>
      <c r="BA628" s="21"/>
      <c r="BB628" s="21"/>
      <c r="BC628" s="21"/>
      <c r="BD628" s="21"/>
      <c r="BE628" s="21"/>
      <c r="BF628" s="21"/>
      <c r="BG628" s="21"/>
      <c r="BI628" s="20"/>
      <c r="BJ628" s="20"/>
      <c r="BK628" s="20"/>
      <c r="BL628" s="20"/>
      <c r="BM628" s="7"/>
      <c r="BN628" s="7"/>
    </row>
    <row r="629">
      <c r="AE629" s="14"/>
      <c r="AZ629" s="21"/>
      <c r="BA629" s="21"/>
      <c r="BB629" s="21"/>
      <c r="BC629" s="21"/>
      <c r="BD629" s="21"/>
      <c r="BE629" s="21"/>
      <c r="BF629" s="21"/>
      <c r="BG629" s="21"/>
      <c r="BI629" s="20"/>
      <c r="BJ629" s="20"/>
      <c r="BK629" s="20"/>
      <c r="BL629" s="20"/>
      <c r="BM629" s="7"/>
      <c r="BN629" s="7"/>
    </row>
    <row r="630">
      <c r="AE630" s="14"/>
      <c r="AZ630" s="21"/>
      <c r="BA630" s="21"/>
      <c r="BB630" s="21"/>
      <c r="BC630" s="21"/>
      <c r="BD630" s="21"/>
      <c r="BE630" s="21"/>
      <c r="BF630" s="21"/>
      <c r="BG630" s="21"/>
      <c r="BI630" s="20"/>
      <c r="BJ630" s="20"/>
      <c r="BK630" s="20"/>
      <c r="BL630" s="20"/>
      <c r="BM630" s="7"/>
      <c r="BN630" s="7"/>
    </row>
    <row r="631">
      <c r="AE631" s="14"/>
      <c r="AZ631" s="21"/>
      <c r="BA631" s="21"/>
      <c r="BB631" s="21"/>
      <c r="BC631" s="21"/>
      <c r="BD631" s="21"/>
      <c r="BE631" s="21"/>
      <c r="BF631" s="21"/>
      <c r="BG631" s="21"/>
      <c r="BI631" s="20"/>
      <c r="BJ631" s="20"/>
      <c r="BK631" s="20"/>
      <c r="BL631" s="20"/>
      <c r="BM631" s="7"/>
      <c r="BN631" s="7"/>
    </row>
    <row r="632">
      <c r="AE632" s="14"/>
      <c r="AZ632" s="21"/>
      <c r="BA632" s="21"/>
      <c r="BB632" s="21"/>
      <c r="BC632" s="21"/>
      <c r="BD632" s="21"/>
      <c r="BE632" s="21"/>
      <c r="BF632" s="21"/>
      <c r="BG632" s="21"/>
      <c r="BI632" s="20"/>
      <c r="BJ632" s="20"/>
      <c r="BK632" s="20"/>
      <c r="BL632" s="20"/>
      <c r="BM632" s="7"/>
      <c r="BN632" s="7"/>
    </row>
    <row r="633">
      <c r="AE633" s="14"/>
      <c r="AZ633" s="21"/>
      <c r="BA633" s="21"/>
      <c r="BB633" s="21"/>
      <c r="BC633" s="21"/>
      <c r="BD633" s="21"/>
      <c r="BE633" s="21"/>
      <c r="BF633" s="21"/>
      <c r="BG633" s="21"/>
      <c r="BI633" s="20"/>
      <c r="BJ633" s="20"/>
      <c r="BK633" s="20"/>
      <c r="BL633" s="20"/>
      <c r="BM633" s="7"/>
      <c r="BN633" s="7"/>
    </row>
    <row r="634">
      <c r="AE634" s="14"/>
      <c r="AZ634" s="21"/>
      <c r="BA634" s="21"/>
      <c r="BB634" s="21"/>
      <c r="BC634" s="21"/>
      <c r="BD634" s="21"/>
      <c r="BE634" s="21"/>
      <c r="BF634" s="21"/>
      <c r="BG634" s="21"/>
      <c r="BI634" s="20"/>
      <c r="BJ634" s="20"/>
      <c r="BK634" s="20"/>
      <c r="BL634" s="20"/>
      <c r="BM634" s="7"/>
      <c r="BN634" s="7"/>
    </row>
    <row r="635">
      <c r="AE635" s="14"/>
      <c r="AZ635" s="21"/>
      <c r="BA635" s="21"/>
      <c r="BB635" s="21"/>
      <c r="BC635" s="21"/>
      <c r="BD635" s="21"/>
      <c r="BE635" s="21"/>
      <c r="BF635" s="21"/>
      <c r="BG635" s="21"/>
      <c r="BI635" s="20"/>
      <c r="BJ635" s="20"/>
      <c r="BK635" s="20"/>
      <c r="BL635" s="20"/>
      <c r="BM635" s="7"/>
      <c r="BN635" s="7"/>
    </row>
    <row r="636">
      <c r="AE636" s="14"/>
      <c r="AZ636" s="21"/>
      <c r="BA636" s="21"/>
      <c r="BB636" s="21"/>
      <c r="BC636" s="21"/>
      <c r="BD636" s="21"/>
      <c r="BE636" s="21"/>
      <c r="BF636" s="21"/>
      <c r="BG636" s="21"/>
      <c r="BI636" s="20"/>
      <c r="BJ636" s="20"/>
      <c r="BK636" s="20"/>
      <c r="BL636" s="20"/>
      <c r="BM636" s="7"/>
      <c r="BN636" s="7"/>
    </row>
    <row r="637">
      <c r="AE637" s="14"/>
      <c r="AZ637" s="21"/>
      <c r="BA637" s="21"/>
      <c r="BB637" s="21"/>
      <c r="BC637" s="21"/>
      <c r="BD637" s="21"/>
      <c r="BE637" s="21"/>
      <c r="BF637" s="21"/>
      <c r="BG637" s="21"/>
      <c r="BI637" s="20"/>
      <c r="BJ637" s="20"/>
      <c r="BK637" s="20"/>
      <c r="BL637" s="20"/>
      <c r="BM637" s="7"/>
      <c r="BN637" s="7"/>
    </row>
    <row r="638">
      <c r="AE638" s="14"/>
      <c r="AZ638" s="21"/>
      <c r="BA638" s="21"/>
      <c r="BB638" s="21"/>
      <c r="BC638" s="21"/>
      <c r="BD638" s="21"/>
      <c r="BE638" s="21"/>
      <c r="BF638" s="21"/>
      <c r="BG638" s="21"/>
      <c r="BI638" s="20"/>
      <c r="BJ638" s="20"/>
      <c r="BK638" s="20"/>
      <c r="BL638" s="20"/>
      <c r="BM638" s="7"/>
      <c r="BN638" s="7"/>
    </row>
    <row r="639">
      <c r="AE639" s="14"/>
      <c r="AZ639" s="21"/>
      <c r="BA639" s="21"/>
      <c r="BB639" s="21"/>
      <c r="BC639" s="21"/>
      <c r="BD639" s="21"/>
      <c r="BE639" s="21"/>
      <c r="BF639" s="21"/>
      <c r="BG639" s="21"/>
      <c r="BI639" s="20"/>
      <c r="BJ639" s="20"/>
      <c r="BK639" s="20"/>
      <c r="BL639" s="20"/>
      <c r="BM639" s="7"/>
      <c r="BN639" s="7"/>
    </row>
    <row r="640">
      <c r="AE640" s="14"/>
      <c r="AZ640" s="21"/>
      <c r="BA640" s="21"/>
      <c r="BB640" s="21"/>
      <c r="BC640" s="21"/>
      <c r="BD640" s="21"/>
      <c r="BE640" s="21"/>
      <c r="BF640" s="21"/>
      <c r="BG640" s="21"/>
      <c r="BI640" s="20"/>
      <c r="BJ640" s="20"/>
      <c r="BK640" s="20"/>
      <c r="BL640" s="20"/>
      <c r="BM640" s="7"/>
      <c r="BN640" s="7"/>
    </row>
    <row r="641">
      <c r="AE641" s="14"/>
      <c r="AZ641" s="21"/>
      <c r="BA641" s="21"/>
      <c r="BB641" s="21"/>
      <c r="BC641" s="21"/>
      <c r="BD641" s="21"/>
      <c r="BE641" s="21"/>
      <c r="BF641" s="21"/>
      <c r="BG641" s="21"/>
      <c r="BI641" s="20"/>
      <c r="BJ641" s="20"/>
      <c r="BK641" s="20"/>
      <c r="BL641" s="20"/>
      <c r="BM641" s="7"/>
      <c r="BN641" s="7"/>
    </row>
    <row r="642">
      <c r="AE642" s="14"/>
      <c r="AZ642" s="21"/>
      <c r="BA642" s="21"/>
      <c r="BB642" s="21"/>
      <c r="BC642" s="21"/>
      <c r="BD642" s="21"/>
      <c r="BE642" s="21"/>
      <c r="BF642" s="21"/>
      <c r="BG642" s="21"/>
      <c r="BI642" s="20"/>
      <c r="BJ642" s="20"/>
      <c r="BK642" s="20"/>
      <c r="BL642" s="20"/>
      <c r="BM642" s="7"/>
      <c r="BN642" s="7"/>
    </row>
    <row r="643">
      <c r="AE643" s="14"/>
      <c r="AZ643" s="21"/>
      <c r="BA643" s="21"/>
      <c r="BB643" s="21"/>
      <c r="BC643" s="21"/>
      <c r="BD643" s="21"/>
      <c r="BE643" s="21"/>
      <c r="BF643" s="21"/>
      <c r="BG643" s="21"/>
      <c r="BI643" s="20"/>
      <c r="BJ643" s="20"/>
      <c r="BK643" s="20"/>
      <c r="BL643" s="20"/>
      <c r="BM643" s="7"/>
      <c r="BN643" s="7"/>
    </row>
    <row r="644">
      <c r="AE644" s="14"/>
      <c r="AZ644" s="21"/>
      <c r="BA644" s="21"/>
      <c r="BB644" s="21"/>
      <c r="BC644" s="21"/>
      <c r="BD644" s="21"/>
      <c r="BE644" s="21"/>
      <c r="BF644" s="21"/>
      <c r="BG644" s="21"/>
      <c r="BI644" s="20"/>
      <c r="BJ644" s="20"/>
      <c r="BK644" s="20"/>
      <c r="BL644" s="20"/>
      <c r="BM644" s="7"/>
      <c r="BN644" s="7"/>
    </row>
    <row r="645">
      <c r="AE645" s="14"/>
      <c r="AZ645" s="21"/>
      <c r="BA645" s="21"/>
      <c r="BB645" s="21"/>
      <c r="BC645" s="21"/>
      <c r="BD645" s="21"/>
      <c r="BE645" s="21"/>
      <c r="BF645" s="21"/>
      <c r="BG645" s="21"/>
      <c r="BI645" s="20"/>
      <c r="BJ645" s="20"/>
      <c r="BK645" s="20"/>
      <c r="BL645" s="20"/>
      <c r="BM645" s="7"/>
      <c r="BN645" s="7"/>
    </row>
    <row r="646">
      <c r="AE646" s="14"/>
      <c r="AZ646" s="21"/>
      <c r="BA646" s="21"/>
      <c r="BB646" s="21"/>
      <c r="BC646" s="21"/>
      <c r="BD646" s="21"/>
      <c r="BE646" s="21"/>
      <c r="BF646" s="21"/>
      <c r="BG646" s="21"/>
      <c r="BI646" s="20"/>
      <c r="BJ646" s="20"/>
      <c r="BK646" s="20"/>
      <c r="BL646" s="20"/>
      <c r="BM646" s="7"/>
      <c r="BN646" s="7"/>
    </row>
    <row r="647">
      <c r="AE647" s="14"/>
      <c r="AZ647" s="21"/>
      <c r="BA647" s="21"/>
      <c r="BB647" s="21"/>
      <c r="BC647" s="21"/>
      <c r="BD647" s="21"/>
      <c r="BE647" s="21"/>
      <c r="BF647" s="21"/>
      <c r="BG647" s="21"/>
      <c r="BI647" s="20"/>
      <c r="BJ647" s="20"/>
      <c r="BK647" s="20"/>
      <c r="BL647" s="20"/>
      <c r="BM647" s="7"/>
      <c r="BN647" s="7"/>
    </row>
    <row r="648">
      <c r="AE648" s="14"/>
      <c r="AZ648" s="21"/>
      <c r="BA648" s="21"/>
      <c r="BB648" s="21"/>
      <c r="BC648" s="21"/>
      <c r="BD648" s="21"/>
      <c r="BE648" s="21"/>
      <c r="BF648" s="21"/>
      <c r="BG648" s="21"/>
      <c r="BI648" s="20"/>
      <c r="BJ648" s="20"/>
      <c r="BK648" s="20"/>
      <c r="BL648" s="20"/>
      <c r="BM648" s="7"/>
      <c r="BN648" s="7"/>
    </row>
    <row r="649">
      <c r="AE649" s="14"/>
      <c r="AZ649" s="21"/>
      <c r="BA649" s="21"/>
      <c r="BB649" s="21"/>
      <c r="BC649" s="21"/>
      <c r="BD649" s="21"/>
      <c r="BE649" s="21"/>
      <c r="BF649" s="21"/>
      <c r="BG649" s="21"/>
      <c r="BI649" s="20"/>
      <c r="BJ649" s="20"/>
      <c r="BK649" s="20"/>
      <c r="BL649" s="20"/>
      <c r="BM649" s="7"/>
      <c r="BN649" s="7"/>
    </row>
    <row r="650">
      <c r="AE650" s="14"/>
      <c r="AZ650" s="21"/>
      <c r="BA650" s="21"/>
      <c r="BB650" s="21"/>
      <c r="BC650" s="21"/>
      <c r="BD650" s="21"/>
      <c r="BE650" s="21"/>
      <c r="BF650" s="21"/>
      <c r="BG650" s="21"/>
      <c r="BI650" s="20"/>
      <c r="BJ650" s="20"/>
      <c r="BK650" s="20"/>
      <c r="BL650" s="20"/>
      <c r="BM650" s="7"/>
      <c r="BN650" s="7"/>
    </row>
    <row r="651">
      <c r="AE651" s="14"/>
      <c r="AZ651" s="21"/>
      <c r="BA651" s="21"/>
      <c r="BB651" s="21"/>
      <c r="BC651" s="21"/>
      <c r="BD651" s="21"/>
      <c r="BE651" s="21"/>
      <c r="BF651" s="21"/>
      <c r="BG651" s="21"/>
      <c r="BI651" s="20"/>
      <c r="BJ651" s="20"/>
      <c r="BK651" s="20"/>
      <c r="BL651" s="20"/>
      <c r="BM651" s="7"/>
      <c r="BN651" s="7"/>
    </row>
    <row r="652">
      <c r="AE652" s="14"/>
      <c r="AZ652" s="21"/>
      <c r="BA652" s="21"/>
      <c r="BB652" s="21"/>
      <c r="BC652" s="21"/>
      <c r="BD652" s="21"/>
      <c r="BE652" s="21"/>
      <c r="BF652" s="21"/>
      <c r="BG652" s="21"/>
      <c r="BI652" s="20"/>
      <c r="BJ652" s="20"/>
      <c r="BK652" s="20"/>
      <c r="BL652" s="20"/>
      <c r="BM652" s="7"/>
      <c r="BN652" s="7"/>
    </row>
    <row r="653">
      <c r="AE653" s="14"/>
      <c r="AZ653" s="21"/>
      <c r="BA653" s="21"/>
      <c r="BB653" s="21"/>
      <c r="BC653" s="21"/>
      <c r="BD653" s="21"/>
      <c r="BE653" s="21"/>
      <c r="BF653" s="21"/>
      <c r="BG653" s="21"/>
      <c r="BI653" s="20"/>
      <c r="BJ653" s="20"/>
      <c r="BK653" s="20"/>
      <c r="BL653" s="20"/>
      <c r="BM653" s="7"/>
      <c r="BN653" s="7"/>
    </row>
    <row r="654">
      <c r="AE654" s="14"/>
      <c r="AZ654" s="21"/>
      <c r="BA654" s="21"/>
      <c r="BB654" s="21"/>
      <c r="BC654" s="21"/>
      <c r="BD654" s="21"/>
      <c r="BE654" s="21"/>
      <c r="BF654" s="21"/>
      <c r="BG654" s="21"/>
      <c r="BI654" s="20"/>
      <c r="BJ654" s="20"/>
      <c r="BK654" s="20"/>
      <c r="BL654" s="20"/>
      <c r="BM654" s="7"/>
      <c r="BN654" s="7"/>
    </row>
    <row r="655">
      <c r="AE655" s="14"/>
      <c r="AZ655" s="21"/>
      <c r="BA655" s="21"/>
      <c r="BB655" s="21"/>
      <c r="BC655" s="21"/>
      <c r="BD655" s="21"/>
      <c r="BE655" s="21"/>
      <c r="BF655" s="21"/>
      <c r="BG655" s="21"/>
      <c r="BI655" s="20"/>
      <c r="BJ655" s="20"/>
      <c r="BK655" s="20"/>
      <c r="BL655" s="20"/>
      <c r="BM655" s="7"/>
      <c r="BN655" s="7"/>
    </row>
    <row r="656">
      <c r="AE656" s="14"/>
      <c r="AZ656" s="21"/>
      <c r="BA656" s="21"/>
      <c r="BB656" s="21"/>
      <c r="BC656" s="21"/>
      <c r="BD656" s="21"/>
      <c r="BE656" s="21"/>
      <c r="BF656" s="21"/>
      <c r="BG656" s="21"/>
      <c r="BI656" s="20"/>
      <c r="BJ656" s="20"/>
      <c r="BK656" s="20"/>
      <c r="BL656" s="20"/>
      <c r="BM656" s="7"/>
      <c r="BN656" s="7"/>
    </row>
    <row r="657">
      <c r="AE657" s="14"/>
      <c r="AZ657" s="21"/>
      <c r="BA657" s="21"/>
      <c r="BB657" s="21"/>
      <c r="BC657" s="21"/>
      <c r="BD657" s="21"/>
      <c r="BE657" s="21"/>
      <c r="BF657" s="21"/>
      <c r="BG657" s="21"/>
      <c r="BI657" s="20"/>
      <c r="BJ657" s="20"/>
      <c r="BK657" s="20"/>
      <c r="BL657" s="20"/>
      <c r="BM657" s="7"/>
      <c r="BN657" s="7"/>
    </row>
    <row r="658">
      <c r="AE658" s="14"/>
      <c r="AZ658" s="21"/>
      <c r="BA658" s="21"/>
      <c r="BB658" s="21"/>
      <c r="BC658" s="21"/>
      <c r="BD658" s="21"/>
      <c r="BE658" s="21"/>
      <c r="BF658" s="21"/>
      <c r="BG658" s="21"/>
      <c r="BI658" s="20"/>
      <c r="BJ658" s="20"/>
      <c r="BK658" s="20"/>
      <c r="BL658" s="20"/>
      <c r="BM658" s="7"/>
      <c r="BN658" s="7"/>
    </row>
    <row r="659">
      <c r="AE659" s="14"/>
      <c r="AZ659" s="21"/>
      <c r="BA659" s="21"/>
      <c r="BB659" s="21"/>
      <c r="BC659" s="21"/>
      <c r="BD659" s="21"/>
      <c r="BE659" s="21"/>
      <c r="BF659" s="21"/>
      <c r="BG659" s="21"/>
      <c r="BI659" s="20"/>
      <c r="BJ659" s="20"/>
      <c r="BK659" s="20"/>
      <c r="BL659" s="20"/>
      <c r="BM659" s="7"/>
      <c r="BN659" s="7"/>
    </row>
    <row r="660">
      <c r="AE660" s="14"/>
      <c r="AZ660" s="21"/>
      <c r="BA660" s="21"/>
      <c r="BB660" s="21"/>
      <c r="BC660" s="21"/>
      <c r="BD660" s="21"/>
      <c r="BE660" s="21"/>
      <c r="BF660" s="21"/>
      <c r="BG660" s="21"/>
      <c r="BI660" s="20"/>
      <c r="BJ660" s="20"/>
      <c r="BK660" s="20"/>
      <c r="BL660" s="20"/>
      <c r="BM660" s="7"/>
      <c r="BN660" s="7"/>
    </row>
    <row r="661">
      <c r="AE661" s="14"/>
      <c r="AZ661" s="21"/>
      <c r="BA661" s="21"/>
      <c r="BB661" s="21"/>
      <c r="BC661" s="21"/>
      <c r="BD661" s="21"/>
      <c r="BE661" s="21"/>
      <c r="BF661" s="21"/>
      <c r="BG661" s="21"/>
      <c r="BI661" s="20"/>
      <c r="BJ661" s="20"/>
      <c r="BK661" s="20"/>
      <c r="BL661" s="20"/>
      <c r="BM661" s="7"/>
      <c r="BN661" s="7"/>
    </row>
    <row r="662">
      <c r="AE662" s="14"/>
      <c r="AZ662" s="21"/>
      <c r="BA662" s="21"/>
      <c r="BB662" s="21"/>
      <c r="BC662" s="21"/>
      <c r="BD662" s="21"/>
      <c r="BE662" s="21"/>
      <c r="BF662" s="21"/>
      <c r="BG662" s="21"/>
      <c r="BI662" s="20"/>
      <c r="BJ662" s="20"/>
      <c r="BK662" s="20"/>
      <c r="BL662" s="20"/>
      <c r="BM662" s="7"/>
      <c r="BN662" s="7"/>
    </row>
    <row r="663">
      <c r="AE663" s="14"/>
      <c r="AZ663" s="21"/>
      <c r="BA663" s="21"/>
      <c r="BB663" s="21"/>
      <c r="BC663" s="21"/>
      <c r="BD663" s="21"/>
      <c r="BE663" s="21"/>
      <c r="BF663" s="21"/>
      <c r="BG663" s="21"/>
      <c r="BI663" s="20"/>
      <c r="BJ663" s="20"/>
      <c r="BK663" s="20"/>
      <c r="BL663" s="20"/>
      <c r="BM663" s="7"/>
      <c r="BN663" s="7"/>
    </row>
    <row r="664">
      <c r="AE664" s="14"/>
      <c r="AZ664" s="21"/>
      <c r="BA664" s="21"/>
      <c r="BB664" s="21"/>
      <c r="BC664" s="21"/>
      <c r="BD664" s="21"/>
      <c r="BE664" s="21"/>
      <c r="BF664" s="21"/>
      <c r="BG664" s="21"/>
      <c r="BI664" s="20"/>
      <c r="BJ664" s="20"/>
      <c r="BK664" s="20"/>
      <c r="BL664" s="20"/>
      <c r="BM664" s="7"/>
      <c r="BN664" s="7"/>
    </row>
    <row r="665">
      <c r="AE665" s="14"/>
      <c r="AZ665" s="21"/>
      <c r="BA665" s="21"/>
      <c r="BB665" s="21"/>
      <c r="BC665" s="21"/>
      <c r="BD665" s="21"/>
      <c r="BE665" s="21"/>
      <c r="BF665" s="21"/>
      <c r="BG665" s="21"/>
      <c r="BI665" s="20"/>
      <c r="BJ665" s="20"/>
      <c r="BK665" s="20"/>
      <c r="BL665" s="20"/>
      <c r="BM665" s="7"/>
      <c r="BN665" s="7"/>
    </row>
    <row r="666">
      <c r="AE666" s="14"/>
      <c r="AZ666" s="21"/>
      <c r="BA666" s="21"/>
      <c r="BB666" s="21"/>
      <c r="BC666" s="21"/>
      <c r="BD666" s="21"/>
      <c r="BE666" s="21"/>
      <c r="BF666" s="21"/>
      <c r="BG666" s="21"/>
      <c r="BI666" s="20"/>
      <c r="BJ666" s="20"/>
      <c r="BK666" s="20"/>
      <c r="BL666" s="20"/>
      <c r="BM666" s="7"/>
      <c r="BN666" s="7"/>
    </row>
    <row r="667">
      <c r="AE667" s="14"/>
      <c r="AZ667" s="21"/>
      <c r="BA667" s="21"/>
      <c r="BB667" s="21"/>
      <c r="BC667" s="21"/>
      <c r="BD667" s="21"/>
      <c r="BE667" s="21"/>
      <c r="BF667" s="21"/>
      <c r="BG667" s="21"/>
      <c r="BI667" s="20"/>
      <c r="BJ667" s="20"/>
      <c r="BK667" s="20"/>
      <c r="BL667" s="20"/>
      <c r="BM667" s="7"/>
      <c r="BN667" s="7"/>
    </row>
    <row r="668">
      <c r="AE668" s="14"/>
      <c r="AZ668" s="21"/>
      <c r="BA668" s="21"/>
      <c r="BB668" s="21"/>
      <c r="BC668" s="21"/>
      <c r="BD668" s="21"/>
      <c r="BE668" s="21"/>
      <c r="BF668" s="21"/>
      <c r="BG668" s="21"/>
      <c r="BI668" s="20"/>
      <c r="BJ668" s="20"/>
      <c r="BK668" s="20"/>
      <c r="BL668" s="20"/>
      <c r="BM668" s="7"/>
      <c r="BN668" s="7"/>
    </row>
    <row r="669">
      <c r="AE669" s="14"/>
      <c r="AZ669" s="21"/>
      <c r="BA669" s="21"/>
      <c r="BB669" s="21"/>
      <c r="BC669" s="21"/>
      <c r="BD669" s="21"/>
      <c r="BE669" s="21"/>
      <c r="BF669" s="21"/>
      <c r="BG669" s="21"/>
      <c r="BI669" s="20"/>
      <c r="BJ669" s="20"/>
      <c r="BK669" s="20"/>
      <c r="BL669" s="20"/>
      <c r="BM669" s="7"/>
      <c r="BN669" s="7"/>
    </row>
    <row r="670">
      <c r="AE670" s="14"/>
      <c r="AZ670" s="21"/>
      <c r="BA670" s="21"/>
      <c r="BB670" s="21"/>
      <c r="BC670" s="21"/>
      <c r="BD670" s="21"/>
      <c r="BE670" s="21"/>
      <c r="BF670" s="21"/>
      <c r="BG670" s="21"/>
      <c r="BI670" s="20"/>
      <c r="BJ670" s="20"/>
      <c r="BK670" s="20"/>
      <c r="BL670" s="20"/>
      <c r="BM670" s="7"/>
      <c r="BN670" s="7"/>
    </row>
    <row r="671">
      <c r="AE671" s="14"/>
      <c r="AZ671" s="21"/>
      <c r="BA671" s="21"/>
      <c r="BB671" s="21"/>
      <c r="BC671" s="21"/>
      <c r="BD671" s="21"/>
      <c r="BE671" s="21"/>
      <c r="BF671" s="21"/>
      <c r="BG671" s="21"/>
      <c r="BI671" s="20"/>
      <c r="BJ671" s="20"/>
      <c r="BK671" s="20"/>
      <c r="BL671" s="20"/>
      <c r="BM671" s="7"/>
      <c r="BN671" s="7"/>
    </row>
    <row r="672">
      <c r="AE672" s="14"/>
      <c r="AZ672" s="21"/>
      <c r="BA672" s="21"/>
      <c r="BB672" s="21"/>
      <c r="BC672" s="21"/>
      <c r="BD672" s="21"/>
      <c r="BE672" s="21"/>
      <c r="BF672" s="21"/>
      <c r="BG672" s="21"/>
      <c r="BI672" s="20"/>
      <c r="BJ672" s="20"/>
      <c r="BK672" s="20"/>
      <c r="BL672" s="20"/>
      <c r="BM672" s="7"/>
      <c r="BN672" s="7"/>
    </row>
    <row r="673">
      <c r="AE673" s="14"/>
      <c r="AZ673" s="21"/>
      <c r="BA673" s="21"/>
      <c r="BB673" s="21"/>
      <c r="BC673" s="21"/>
      <c r="BD673" s="21"/>
      <c r="BE673" s="21"/>
      <c r="BF673" s="21"/>
      <c r="BG673" s="21"/>
      <c r="BI673" s="20"/>
      <c r="BJ673" s="20"/>
      <c r="BK673" s="20"/>
      <c r="BL673" s="20"/>
      <c r="BM673" s="7"/>
      <c r="BN673" s="7"/>
    </row>
    <row r="674">
      <c r="AE674" s="14"/>
      <c r="AZ674" s="21"/>
      <c r="BA674" s="21"/>
      <c r="BB674" s="21"/>
      <c r="BC674" s="21"/>
      <c r="BD674" s="21"/>
      <c r="BE674" s="21"/>
      <c r="BF674" s="21"/>
      <c r="BG674" s="21"/>
      <c r="BI674" s="20"/>
      <c r="BJ674" s="20"/>
      <c r="BK674" s="20"/>
      <c r="BL674" s="20"/>
      <c r="BM674" s="7"/>
      <c r="BN674" s="7"/>
    </row>
    <row r="675">
      <c r="AE675" s="14"/>
      <c r="AZ675" s="21"/>
      <c r="BA675" s="21"/>
      <c r="BB675" s="21"/>
      <c r="BC675" s="21"/>
      <c r="BD675" s="21"/>
      <c r="BE675" s="21"/>
      <c r="BF675" s="21"/>
      <c r="BG675" s="21"/>
      <c r="BI675" s="20"/>
      <c r="BJ675" s="20"/>
      <c r="BK675" s="20"/>
      <c r="BL675" s="20"/>
      <c r="BM675" s="7"/>
      <c r="BN675" s="7"/>
    </row>
    <row r="676">
      <c r="AE676" s="14"/>
      <c r="AZ676" s="21"/>
      <c r="BA676" s="21"/>
      <c r="BB676" s="21"/>
      <c r="BC676" s="21"/>
      <c r="BD676" s="21"/>
      <c r="BE676" s="21"/>
      <c r="BF676" s="21"/>
      <c r="BG676" s="21"/>
      <c r="BI676" s="20"/>
      <c r="BJ676" s="20"/>
      <c r="BK676" s="20"/>
      <c r="BL676" s="20"/>
      <c r="BM676" s="7"/>
      <c r="BN676" s="7"/>
    </row>
    <row r="677">
      <c r="AE677" s="14"/>
      <c r="AZ677" s="21"/>
      <c r="BA677" s="21"/>
      <c r="BB677" s="21"/>
      <c r="BC677" s="21"/>
      <c r="BD677" s="21"/>
      <c r="BE677" s="21"/>
      <c r="BF677" s="21"/>
      <c r="BG677" s="21"/>
      <c r="BI677" s="20"/>
      <c r="BJ677" s="20"/>
      <c r="BK677" s="20"/>
      <c r="BL677" s="20"/>
      <c r="BM677" s="7"/>
      <c r="BN677" s="7"/>
    </row>
    <row r="678">
      <c r="AE678" s="14"/>
      <c r="AZ678" s="21"/>
      <c r="BA678" s="21"/>
      <c r="BB678" s="21"/>
      <c r="BC678" s="21"/>
      <c r="BD678" s="21"/>
      <c r="BE678" s="21"/>
      <c r="BF678" s="21"/>
      <c r="BG678" s="21"/>
      <c r="BI678" s="20"/>
      <c r="BJ678" s="20"/>
      <c r="BK678" s="20"/>
      <c r="BL678" s="20"/>
      <c r="BM678" s="7"/>
      <c r="BN678" s="7"/>
    </row>
    <row r="679">
      <c r="AE679" s="14"/>
      <c r="AZ679" s="21"/>
      <c r="BA679" s="21"/>
      <c r="BB679" s="21"/>
      <c r="BC679" s="21"/>
      <c r="BD679" s="21"/>
      <c r="BE679" s="21"/>
      <c r="BF679" s="21"/>
      <c r="BG679" s="21"/>
      <c r="BI679" s="20"/>
      <c r="BJ679" s="20"/>
      <c r="BK679" s="20"/>
      <c r="BL679" s="20"/>
      <c r="BM679" s="7"/>
      <c r="BN679" s="7"/>
    </row>
    <row r="680">
      <c r="AE680" s="14"/>
      <c r="AZ680" s="21"/>
      <c r="BA680" s="21"/>
      <c r="BB680" s="21"/>
      <c r="BC680" s="21"/>
      <c r="BD680" s="21"/>
      <c r="BE680" s="21"/>
      <c r="BF680" s="21"/>
      <c r="BG680" s="21"/>
      <c r="BI680" s="20"/>
      <c r="BJ680" s="20"/>
      <c r="BK680" s="20"/>
      <c r="BL680" s="20"/>
      <c r="BM680" s="7"/>
      <c r="BN680" s="7"/>
    </row>
    <row r="681">
      <c r="AE681" s="14"/>
      <c r="AZ681" s="21"/>
      <c r="BA681" s="21"/>
      <c r="BB681" s="21"/>
      <c r="BC681" s="21"/>
      <c r="BD681" s="21"/>
      <c r="BE681" s="21"/>
      <c r="BF681" s="21"/>
      <c r="BG681" s="21"/>
      <c r="BI681" s="20"/>
      <c r="BJ681" s="20"/>
      <c r="BK681" s="20"/>
      <c r="BL681" s="20"/>
      <c r="BM681" s="7"/>
      <c r="BN681" s="7"/>
    </row>
    <row r="682">
      <c r="AE682" s="14"/>
      <c r="AZ682" s="21"/>
      <c r="BA682" s="21"/>
      <c r="BB682" s="21"/>
      <c r="BC682" s="21"/>
      <c r="BD682" s="21"/>
      <c r="BE682" s="21"/>
      <c r="BF682" s="21"/>
      <c r="BG682" s="21"/>
      <c r="BI682" s="20"/>
      <c r="BJ682" s="20"/>
      <c r="BK682" s="20"/>
      <c r="BL682" s="20"/>
      <c r="BM682" s="7"/>
      <c r="BN682" s="7"/>
    </row>
    <row r="683">
      <c r="AE683" s="14"/>
      <c r="AZ683" s="21"/>
      <c r="BA683" s="21"/>
      <c r="BB683" s="21"/>
      <c r="BC683" s="21"/>
      <c r="BD683" s="21"/>
      <c r="BE683" s="21"/>
      <c r="BF683" s="21"/>
      <c r="BG683" s="21"/>
      <c r="BI683" s="20"/>
      <c r="BJ683" s="20"/>
      <c r="BK683" s="20"/>
      <c r="BL683" s="20"/>
      <c r="BM683" s="7"/>
      <c r="BN683" s="7"/>
    </row>
    <row r="684">
      <c r="AE684" s="14"/>
      <c r="AZ684" s="21"/>
      <c r="BA684" s="21"/>
      <c r="BB684" s="21"/>
      <c r="BC684" s="21"/>
      <c r="BD684" s="21"/>
      <c r="BE684" s="21"/>
      <c r="BF684" s="21"/>
      <c r="BG684" s="21"/>
      <c r="BI684" s="20"/>
      <c r="BJ684" s="20"/>
      <c r="BK684" s="20"/>
      <c r="BL684" s="20"/>
      <c r="BM684" s="7"/>
      <c r="BN684" s="7"/>
    </row>
    <row r="685">
      <c r="AE685" s="14"/>
      <c r="AZ685" s="21"/>
      <c r="BA685" s="21"/>
      <c r="BB685" s="21"/>
      <c r="BC685" s="21"/>
      <c r="BD685" s="21"/>
      <c r="BE685" s="21"/>
      <c r="BF685" s="21"/>
      <c r="BG685" s="21"/>
      <c r="BI685" s="20"/>
      <c r="BJ685" s="20"/>
      <c r="BK685" s="20"/>
      <c r="BL685" s="20"/>
      <c r="BM685" s="7"/>
      <c r="BN685" s="7"/>
    </row>
    <row r="686">
      <c r="AE686" s="14"/>
      <c r="AZ686" s="21"/>
      <c r="BA686" s="21"/>
      <c r="BB686" s="21"/>
      <c r="BC686" s="21"/>
      <c r="BD686" s="21"/>
      <c r="BE686" s="21"/>
      <c r="BF686" s="21"/>
      <c r="BG686" s="21"/>
      <c r="BI686" s="20"/>
      <c r="BJ686" s="20"/>
      <c r="BK686" s="20"/>
      <c r="BL686" s="20"/>
      <c r="BM686" s="7"/>
      <c r="BN686" s="7"/>
    </row>
    <row r="687">
      <c r="AE687" s="14"/>
      <c r="AZ687" s="21"/>
      <c r="BA687" s="21"/>
      <c r="BB687" s="21"/>
      <c r="BC687" s="21"/>
      <c r="BD687" s="21"/>
      <c r="BE687" s="21"/>
      <c r="BF687" s="21"/>
      <c r="BG687" s="21"/>
      <c r="BI687" s="20"/>
      <c r="BJ687" s="20"/>
      <c r="BK687" s="20"/>
      <c r="BL687" s="20"/>
      <c r="BM687" s="7"/>
      <c r="BN687" s="7"/>
    </row>
    <row r="688">
      <c r="AE688" s="14"/>
      <c r="AZ688" s="21"/>
      <c r="BA688" s="21"/>
      <c r="BB688" s="21"/>
      <c r="BC688" s="21"/>
      <c r="BD688" s="21"/>
      <c r="BE688" s="21"/>
      <c r="BF688" s="21"/>
      <c r="BG688" s="21"/>
      <c r="BI688" s="20"/>
      <c r="BJ688" s="20"/>
      <c r="BK688" s="20"/>
      <c r="BL688" s="20"/>
      <c r="BM688" s="7"/>
      <c r="BN688" s="7"/>
    </row>
    <row r="689">
      <c r="AE689" s="14"/>
      <c r="AZ689" s="21"/>
      <c r="BA689" s="21"/>
      <c r="BB689" s="21"/>
      <c r="BC689" s="21"/>
      <c r="BD689" s="21"/>
      <c r="BE689" s="21"/>
      <c r="BF689" s="21"/>
      <c r="BG689" s="21"/>
      <c r="BI689" s="20"/>
      <c r="BJ689" s="20"/>
      <c r="BK689" s="20"/>
      <c r="BL689" s="20"/>
      <c r="BM689" s="7"/>
      <c r="BN689" s="7"/>
    </row>
    <row r="690">
      <c r="AE690" s="14"/>
      <c r="AZ690" s="21"/>
      <c r="BA690" s="21"/>
      <c r="BB690" s="21"/>
      <c r="BC690" s="21"/>
      <c r="BD690" s="21"/>
      <c r="BE690" s="21"/>
      <c r="BF690" s="21"/>
      <c r="BG690" s="21"/>
      <c r="BI690" s="20"/>
      <c r="BJ690" s="20"/>
      <c r="BK690" s="20"/>
      <c r="BL690" s="20"/>
      <c r="BM690" s="7"/>
      <c r="BN690" s="7"/>
    </row>
    <row r="691">
      <c r="AE691" s="14"/>
      <c r="AZ691" s="21"/>
      <c r="BA691" s="21"/>
      <c r="BB691" s="21"/>
      <c r="BC691" s="21"/>
      <c r="BD691" s="21"/>
      <c r="BE691" s="21"/>
      <c r="BF691" s="21"/>
      <c r="BG691" s="21"/>
      <c r="BI691" s="20"/>
      <c r="BJ691" s="20"/>
      <c r="BK691" s="20"/>
      <c r="BL691" s="20"/>
      <c r="BM691" s="7"/>
      <c r="BN691" s="7"/>
    </row>
    <row r="692">
      <c r="AE692" s="14"/>
      <c r="AZ692" s="21"/>
      <c r="BA692" s="21"/>
      <c r="BB692" s="21"/>
      <c r="BC692" s="21"/>
      <c r="BD692" s="21"/>
      <c r="BE692" s="21"/>
      <c r="BF692" s="21"/>
      <c r="BG692" s="21"/>
      <c r="BI692" s="20"/>
      <c r="BJ692" s="20"/>
      <c r="BK692" s="20"/>
      <c r="BL692" s="20"/>
      <c r="BM692" s="7"/>
      <c r="BN692" s="7"/>
    </row>
    <row r="693">
      <c r="AE693" s="14"/>
      <c r="AZ693" s="21"/>
      <c r="BA693" s="21"/>
      <c r="BB693" s="21"/>
      <c r="BC693" s="21"/>
      <c r="BD693" s="21"/>
      <c r="BE693" s="21"/>
      <c r="BF693" s="21"/>
      <c r="BG693" s="21"/>
      <c r="BI693" s="20"/>
      <c r="BJ693" s="20"/>
      <c r="BK693" s="20"/>
      <c r="BL693" s="20"/>
      <c r="BM693" s="7"/>
      <c r="BN693" s="7"/>
    </row>
    <row r="694">
      <c r="AE694" s="14"/>
      <c r="AZ694" s="21"/>
      <c r="BA694" s="21"/>
      <c r="BB694" s="21"/>
      <c r="BC694" s="21"/>
      <c r="BD694" s="21"/>
      <c r="BE694" s="21"/>
      <c r="BF694" s="21"/>
      <c r="BG694" s="21"/>
      <c r="BI694" s="20"/>
      <c r="BJ694" s="20"/>
      <c r="BK694" s="20"/>
      <c r="BL694" s="20"/>
      <c r="BM694" s="7"/>
      <c r="BN694" s="7"/>
    </row>
    <row r="695">
      <c r="AE695" s="14"/>
      <c r="AZ695" s="21"/>
      <c r="BA695" s="21"/>
      <c r="BB695" s="21"/>
      <c r="BC695" s="21"/>
      <c r="BD695" s="21"/>
      <c r="BE695" s="21"/>
      <c r="BF695" s="21"/>
      <c r="BG695" s="21"/>
      <c r="BI695" s="20"/>
      <c r="BJ695" s="20"/>
      <c r="BK695" s="20"/>
      <c r="BL695" s="20"/>
      <c r="BM695" s="7"/>
      <c r="BN695" s="7"/>
    </row>
    <row r="696">
      <c r="AE696" s="14"/>
      <c r="AZ696" s="21"/>
      <c r="BA696" s="21"/>
      <c r="BB696" s="21"/>
      <c r="BC696" s="21"/>
      <c r="BD696" s="21"/>
      <c r="BE696" s="21"/>
      <c r="BF696" s="21"/>
      <c r="BG696" s="21"/>
      <c r="BI696" s="20"/>
      <c r="BJ696" s="20"/>
      <c r="BK696" s="20"/>
      <c r="BL696" s="20"/>
      <c r="BM696" s="7"/>
      <c r="BN696" s="7"/>
    </row>
    <row r="697">
      <c r="AE697" s="14"/>
      <c r="AZ697" s="21"/>
      <c r="BA697" s="21"/>
      <c r="BB697" s="21"/>
      <c r="BC697" s="21"/>
      <c r="BD697" s="21"/>
      <c r="BE697" s="21"/>
      <c r="BF697" s="21"/>
      <c r="BG697" s="21"/>
      <c r="BI697" s="20"/>
      <c r="BJ697" s="20"/>
      <c r="BK697" s="20"/>
      <c r="BL697" s="20"/>
      <c r="BM697" s="7"/>
      <c r="BN697" s="7"/>
    </row>
    <row r="698">
      <c r="AE698" s="14"/>
      <c r="AZ698" s="21"/>
      <c r="BA698" s="21"/>
      <c r="BB698" s="21"/>
      <c r="BC698" s="21"/>
      <c r="BD698" s="21"/>
      <c r="BE698" s="21"/>
      <c r="BF698" s="21"/>
      <c r="BG698" s="21"/>
      <c r="BI698" s="20"/>
      <c r="BJ698" s="20"/>
      <c r="BK698" s="20"/>
      <c r="BL698" s="20"/>
      <c r="BM698" s="7"/>
      <c r="BN698" s="7"/>
    </row>
    <row r="699">
      <c r="AE699" s="14"/>
      <c r="AZ699" s="21"/>
      <c r="BA699" s="21"/>
      <c r="BB699" s="21"/>
      <c r="BC699" s="21"/>
      <c r="BD699" s="21"/>
      <c r="BE699" s="21"/>
      <c r="BF699" s="21"/>
      <c r="BG699" s="21"/>
      <c r="BI699" s="20"/>
      <c r="BJ699" s="20"/>
      <c r="BK699" s="20"/>
      <c r="BL699" s="20"/>
      <c r="BM699" s="7"/>
      <c r="BN699" s="7"/>
    </row>
    <row r="700">
      <c r="AE700" s="14"/>
      <c r="AZ700" s="21"/>
      <c r="BA700" s="21"/>
      <c r="BB700" s="21"/>
      <c r="BC700" s="21"/>
      <c r="BD700" s="21"/>
      <c r="BE700" s="21"/>
      <c r="BF700" s="21"/>
      <c r="BG700" s="21"/>
      <c r="BI700" s="20"/>
      <c r="BJ700" s="20"/>
      <c r="BK700" s="20"/>
      <c r="BL700" s="20"/>
      <c r="BM700" s="7"/>
      <c r="BN700" s="7"/>
    </row>
    <row r="701">
      <c r="AE701" s="14"/>
      <c r="AZ701" s="21"/>
      <c r="BA701" s="21"/>
      <c r="BB701" s="21"/>
      <c r="BC701" s="21"/>
      <c r="BD701" s="21"/>
      <c r="BE701" s="21"/>
      <c r="BF701" s="21"/>
      <c r="BG701" s="21"/>
      <c r="BI701" s="20"/>
      <c r="BJ701" s="20"/>
      <c r="BK701" s="20"/>
      <c r="BL701" s="20"/>
      <c r="BM701" s="7"/>
      <c r="BN701" s="7"/>
    </row>
    <row r="702">
      <c r="AE702" s="14"/>
      <c r="AZ702" s="21"/>
      <c r="BA702" s="21"/>
      <c r="BB702" s="21"/>
      <c r="BC702" s="21"/>
      <c r="BD702" s="21"/>
      <c r="BE702" s="21"/>
      <c r="BF702" s="21"/>
      <c r="BG702" s="21"/>
      <c r="BI702" s="20"/>
      <c r="BJ702" s="20"/>
      <c r="BK702" s="20"/>
      <c r="BL702" s="20"/>
      <c r="BM702" s="7"/>
      <c r="BN702" s="7"/>
    </row>
    <row r="703">
      <c r="AE703" s="14"/>
      <c r="AZ703" s="21"/>
      <c r="BA703" s="21"/>
      <c r="BB703" s="21"/>
      <c r="BC703" s="21"/>
      <c r="BD703" s="21"/>
      <c r="BE703" s="21"/>
      <c r="BF703" s="21"/>
      <c r="BG703" s="21"/>
      <c r="BI703" s="20"/>
      <c r="BJ703" s="20"/>
      <c r="BK703" s="20"/>
      <c r="BL703" s="20"/>
      <c r="BM703" s="7"/>
      <c r="BN703" s="7"/>
    </row>
    <row r="704">
      <c r="AE704" s="14"/>
      <c r="AZ704" s="21"/>
      <c r="BA704" s="21"/>
      <c r="BB704" s="21"/>
      <c r="BC704" s="21"/>
      <c r="BD704" s="21"/>
      <c r="BE704" s="21"/>
      <c r="BF704" s="21"/>
      <c r="BG704" s="21"/>
      <c r="BI704" s="20"/>
      <c r="BJ704" s="20"/>
      <c r="BK704" s="20"/>
      <c r="BL704" s="20"/>
      <c r="BM704" s="7"/>
      <c r="BN704" s="7"/>
    </row>
    <row r="705">
      <c r="AE705" s="14"/>
      <c r="AZ705" s="21"/>
      <c r="BA705" s="21"/>
      <c r="BB705" s="21"/>
      <c r="BC705" s="21"/>
      <c r="BD705" s="21"/>
      <c r="BE705" s="21"/>
      <c r="BF705" s="21"/>
      <c r="BG705" s="21"/>
      <c r="BI705" s="20"/>
      <c r="BJ705" s="20"/>
      <c r="BK705" s="20"/>
      <c r="BL705" s="20"/>
      <c r="BM705" s="7"/>
      <c r="BN705" s="7"/>
    </row>
    <row r="706">
      <c r="AE706" s="14"/>
      <c r="AZ706" s="21"/>
      <c r="BA706" s="21"/>
      <c r="BB706" s="21"/>
      <c r="BC706" s="21"/>
      <c r="BD706" s="21"/>
      <c r="BE706" s="21"/>
      <c r="BF706" s="21"/>
      <c r="BG706" s="21"/>
      <c r="BI706" s="20"/>
      <c r="BJ706" s="20"/>
      <c r="BK706" s="20"/>
      <c r="BL706" s="20"/>
      <c r="BM706" s="7"/>
      <c r="BN706" s="7"/>
    </row>
    <row r="707">
      <c r="AE707" s="14"/>
      <c r="AZ707" s="21"/>
      <c r="BA707" s="21"/>
      <c r="BB707" s="21"/>
      <c r="BC707" s="21"/>
      <c r="BD707" s="21"/>
      <c r="BE707" s="21"/>
      <c r="BF707" s="21"/>
      <c r="BG707" s="21"/>
      <c r="BI707" s="20"/>
      <c r="BJ707" s="20"/>
      <c r="BK707" s="20"/>
      <c r="BL707" s="20"/>
      <c r="BM707" s="7"/>
      <c r="BN707" s="7"/>
    </row>
    <row r="708">
      <c r="AE708" s="14"/>
      <c r="AZ708" s="21"/>
      <c r="BA708" s="21"/>
      <c r="BB708" s="21"/>
      <c r="BC708" s="21"/>
      <c r="BD708" s="21"/>
      <c r="BE708" s="21"/>
      <c r="BF708" s="21"/>
      <c r="BG708" s="21"/>
      <c r="BI708" s="20"/>
      <c r="BJ708" s="20"/>
      <c r="BK708" s="20"/>
      <c r="BL708" s="20"/>
      <c r="BM708" s="7"/>
      <c r="BN708" s="7"/>
    </row>
    <row r="709">
      <c r="AE709" s="14"/>
      <c r="AZ709" s="21"/>
      <c r="BA709" s="21"/>
      <c r="BB709" s="21"/>
      <c r="BC709" s="21"/>
      <c r="BD709" s="21"/>
      <c r="BE709" s="21"/>
      <c r="BF709" s="21"/>
      <c r="BG709" s="21"/>
      <c r="BI709" s="20"/>
      <c r="BJ709" s="20"/>
      <c r="BK709" s="20"/>
      <c r="BL709" s="20"/>
      <c r="BM709" s="7"/>
      <c r="BN709" s="7"/>
    </row>
    <row r="710">
      <c r="AE710" s="14"/>
      <c r="AZ710" s="21"/>
      <c r="BA710" s="21"/>
      <c r="BB710" s="21"/>
      <c r="BC710" s="21"/>
      <c r="BD710" s="21"/>
      <c r="BE710" s="21"/>
      <c r="BF710" s="21"/>
      <c r="BG710" s="21"/>
      <c r="BI710" s="20"/>
      <c r="BJ710" s="20"/>
      <c r="BK710" s="20"/>
      <c r="BL710" s="20"/>
      <c r="BM710" s="7"/>
      <c r="BN710" s="7"/>
    </row>
    <row r="711">
      <c r="AE711" s="14"/>
      <c r="AZ711" s="21"/>
      <c r="BA711" s="21"/>
      <c r="BB711" s="21"/>
      <c r="BC711" s="21"/>
      <c r="BD711" s="21"/>
      <c r="BE711" s="21"/>
      <c r="BF711" s="21"/>
      <c r="BG711" s="21"/>
      <c r="BI711" s="20"/>
      <c r="BJ711" s="20"/>
      <c r="BK711" s="20"/>
      <c r="BL711" s="20"/>
      <c r="BM711" s="7"/>
      <c r="BN711" s="7"/>
    </row>
    <row r="712">
      <c r="AE712" s="14"/>
      <c r="AZ712" s="21"/>
      <c r="BA712" s="21"/>
      <c r="BB712" s="21"/>
      <c r="BC712" s="21"/>
      <c r="BD712" s="21"/>
      <c r="BE712" s="21"/>
      <c r="BF712" s="21"/>
      <c r="BG712" s="21"/>
      <c r="BI712" s="20"/>
      <c r="BJ712" s="20"/>
      <c r="BK712" s="20"/>
      <c r="BL712" s="20"/>
      <c r="BM712" s="7"/>
      <c r="BN712" s="7"/>
    </row>
    <row r="713">
      <c r="AE713" s="14"/>
      <c r="AZ713" s="21"/>
      <c r="BA713" s="21"/>
      <c r="BB713" s="21"/>
      <c r="BC713" s="21"/>
      <c r="BD713" s="21"/>
      <c r="BE713" s="21"/>
      <c r="BF713" s="21"/>
      <c r="BG713" s="21"/>
      <c r="BI713" s="20"/>
      <c r="BJ713" s="20"/>
      <c r="BK713" s="20"/>
      <c r="BL713" s="20"/>
      <c r="BM713" s="7"/>
      <c r="BN713" s="7"/>
    </row>
    <row r="714">
      <c r="AE714" s="14"/>
      <c r="AZ714" s="21"/>
      <c r="BA714" s="21"/>
      <c r="BB714" s="21"/>
      <c r="BC714" s="21"/>
      <c r="BD714" s="21"/>
      <c r="BE714" s="21"/>
      <c r="BF714" s="21"/>
      <c r="BG714" s="21"/>
      <c r="BI714" s="20"/>
      <c r="BJ714" s="20"/>
      <c r="BK714" s="20"/>
      <c r="BL714" s="20"/>
      <c r="BM714" s="7"/>
      <c r="BN714" s="7"/>
    </row>
    <row r="715">
      <c r="AE715" s="14"/>
      <c r="AZ715" s="21"/>
      <c r="BA715" s="21"/>
      <c r="BB715" s="21"/>
      <c r="BC715" s="21"/>
      <c r="BD715" s="21"/>
      <c r="BE715" s="21"/>
      <c r="BF715" s="21"/>
      <c r="BG715" s="21"/>
      <c r="BI715" s="20"/>
      <c r="BJ715" s="20"/>
      <c r="BK715" s="20"/>
      <c r="BL715" s="20"/>
      <c r="BM715" s="7"/>
      <c r="BN715" s="7"/>
    </row>
    <row r="716">
      <c r="AE716" s="14"/>
      <c r="AZ716" s="21"/>
      <c r="BA716" s="21"/>
      <c r="BB716" s="21"/>
      <c r="BC716" s="21"/>
      <c r="BD716" s="21"/>
      <c r="BE716" s="21"/>
      <c r="BF716" s="21"/>
      <c r="BG716" s="21"/>
      <c r="BI716" s="20"/>
      <c r="BJ716" s="20"/>
      <c r="BK716" s="20"/>
      <c r="BL716" s="20"/>
      <c r="BM716" s="7"/>
      <c r="BN716" s="7"/>
    </row>
    <row r="717">
      <c r="AE717" s="14"/>
      <c r="AZ717" s="21"/>
      <c r="BA717" s="21"/>
      <c r="BB717" s="21"/>
      <c r="BC717" s="21"/>
      <c r="BD717" s="21"/>
      <c r="BE717" s="21"/>
      <c r="BF717" s="21"/>
      <c r="BG717" s="21"/>
      <c r="BI717" s="20"/>
      <c r="BJ717" s="20"/>
      <c r="BK717" s="20"/>
      <c r="BL717" s="20"/>
      <c r="BM717" s="7"/>
      <c r="BN717" s="7"/>
    </row>
    <row r="718">
      <c r="AE718" s="14"/>
      <c r="AZ718" s="21"/>
      <c r="BA718" s="21"/>
      <c r="BB718" s="21"/>
      <c r="BC718" s="21"/>
      <c r="BD718" s="21"/>
      <c r="BE718" s="21"/>
      <c r="BF718" s="21"/>
      <c r="BG718" s="21"/>
      <c r="BI718" s="20"/>
      <c r="BJ718" s="20"/>
      <c r="BK718" s="20"/>
      <c r="BL718" s="20"/>
      <c r="BM718" s="7"/>
      <c r="BN718" s="7"/>
    </row>
    <row r="719">
      <c r="AE719" s="14"/>
      <c r="AZ719" s="21"/>
      <c r="BA719" s="21"/>
      <c r="BB719" s="21"/>
      <c r="BC719" s="21"/>
      <c r="BD719" s="21"/>
      <c r="BE719" s="21"/>
      <c r="BF719" s="21"/>
      <c r="BG719" s="21"/>
      <c r="BI719" s="20"/>
      <c r="BJ719" s="20"/>
      <c r="BK719" s="20"/>
      <c r="BL719" s="20"/>
      <c r="BM719" s="7"/>
      <c r="BN719" s="7"/>
    </row>
    <row r="720">
      <c r="AE720" s="14"/>
      <c r="AZ720" s="21"/>
      <c r="BA720" s="21"/>
      <c r="BB720" s="21"/>
      <c r="BC720" s="21"/>
      <c r="BD720" s="21"/>
      <c r="BE720" s="21"/>
      <c r="BF720" s="21"/>
      <c r="BG720" s="21"/>
      <c r="BI720" s="20"/>
      <c r="BJ720" s="20"/>
      <c r="BK720" s="20"/>
      <c r="BL720" s="20"/>
      <c r="BM720" s="7"/>
      <c r="BN720" s="7"/>
    </row>
    <row r="721">
      <c r="AE721" s="14"/>
      <c r="AZ721" s="21"/>
      <c r="BA721" s="21"/>
      <c r="BB721" s="21"/>
      <c r="BC721" s="21"/>
      <c r="BD721" s="21"/>
      <c r="BE721" s="21"/>
      <c r="BF721" s="21"/>
      <c r="BG721" s="21"/>
      <c r="BI721" s="20"/>
      <c r="BJ721" s="20"/>
      <c r="BK721" s="20"/>
      <c r="BL721" s="20"/>
      <c r="BM721" s="7"/>
      <c r="BN721" s="7"/>
    </row>
    <row r="722">
      <c r="AE722" s="14"/>
      <c r="AZ722" s="21"/>
      <c r="BA722" s="21"/>
      <c r="BB722" s="21"/>
      <c r="BC722" s="21"/>
      <c r="BD722" s="21"/>
      <c r="BE722" s="21"/>
      <c r="BF722" s="21"/>
      <c r="BG722" s="21"/>
      <c r="BI722" s="20"/>
      <c r="BJ722" s="20"/>
      <c r="BK722" s="20"/>
      <c r="BL722" s="20"/>
      <c r="BM722" s="7"/>
      <c r="BN722" s="7"/>
    </row>
    <row r="723">
      <c r="AE723" s="14"/>
      <c r="AZ723" s="21"/>
      <c r="BA723" s="21"/>
      <c r="BB723" s="21"/>
      <c r="BC723" s="21"/>
      <c r="BD723" s="21"/>
      <c r="BE723" s="21"/>
      <c r="BF723" s="21"/>
      <c r="BG723" s="21"/>
      <c r="BI723" s="20"/>
      <c r="BJ723" s="20"/>
      <c r="BK723" s="20"/>
      <c r="BL723" s="20"/>
      <c r="BM723" s="7"/>
      <c r="BN723" s="7"/>
    </row>
    <row r="724">
      <c r="AE724" s="14"/>
      <c r="AZ724" s="21"/>
      <c r="BA724" s="21"/>
      <c r="BB724" s="21"/>
      <c r="BC724" s="21"/>
      <c r="BD724" s="21"/>
      <c r="BE724" s="21"/>
      <c r="BF724" s="21"/>
      <c r="BG724" s="21"/>
      <c r="BI724" s="20"/>
      <c r="BJ724" s="20"/>
      <c r="BK724" s="20"/>
      <c r="BL724" s="20"/>
      <c r="BM724" s="7"/>
      <c r="BN724" s="7"/>
    </row>
    <row r="725">
      <c r="AE725" s="14"/>
      <c r="AZ725" s="21"/>
      <c r="BA725" s="21"/>
      <c r="BB725" s="21"/>
      <c r="BC725" s="21"/>
      <c r="BD725" s="21"/>
      <c r="BE725" s="21"/>
      <c r="BF725" s="21"/>
      <c r="BG725" s="21"/>
      <c r="BI725" s="20"/>
      <c r="BJ725" s="20"/>
      <c r="BK725" s="20"/>
      <c r="BL725" s="20"/>
      <c r="BM725" s="7"/>
      <c r="BN725" s="7"/>
    </row>
    <row r="726">
      <c r="AE726" s="14"/>
      <c r="AZ726" s="21"/>
      <c r="BA726" s="21"/>
      <c r="BB726" s="21"/>
      <c r="BC726" s="21"/>
      <c r="BD726" s="21"/>
      <c r="BE726" s="21"/>
      <c r="BF726" s="21"/>
      <c r="BG726" s="21"/>
      <c r="BI726" s="20"/>
      <c r="BJ726" s="20"/>
      <c r="BK726" s="20"/>
      <c r="BL726" s="20"/>
      <c r="BM726" s="7"/>
      <c r="BN726" s="7"/>
    </row>
    <row r="727">
      <c r="AE727" s="14"/>
      <c r="AZ727" s="21"/>
      <c r="BA727" s="21"/>
      <c r="BB727" s="21"/>
      <c r="BC727" s="21"/>
      <c r="BD727" s="21"/>
      <c r="BE727" s="21"/>
      <c r="BF727" s="21"/>
      <c r="BG727" s="21"/>
      <c r="BI727" s="20"/>
      <c r="BJ727" s="20"/>
      <c r="BK727" s="20"/>
      <c r="BL727" s="20"/>
      <c r="BM727" s="7"/>
      <c r="BN727" s="7"/>
    </row>
    <row r="728">
      <c r="AE728" s="14"/>
      <c r="AZ728" s="21"/>
      <c r="BA728" s="21"/>
      <c r="BB728" s="21"/>
      <c r="BC728" s="21"/>
      <c r="BD728" s="21"/>
      <c r="BE728" s="21"/>
      <c r="BF728" s="21"/>
      <c r="BG728" s="21"/>
      <c r="BI728" s="20"/>
      <c r="BJ728" s="20"/>
      <c r="BK728" s="20"/>
      <c r="BL728" s="20"/>
      <c r="BM728" s="7"/>
      <c r="BN728" s="7"/>
    </row>
    <row r="729">
      <c r="AE729" s="14"/>
      <c r="AZ729" s="21"/>
      <c r="BA729" s="21"/>
      <c r="BB729" s="21"/>
      <c r="BC729" s="21"/>
      <c r="BD729" s="21"/>
      <c r="BE729" s="21"/>
      <c r="BF729" s="21"/>
      <c r="BG729" s="21"/>
      <c r="BI729" s="20"/>
      <c r="BJ729" s="20"/>
      <c r="BK729" s="20"/>
      <c r="BL729" s="20"/>
      <c r="BM729" s="7"/>
      <c r="BN729" s="7"/>
    </row>
    <row r="730">
      <c r="AE730" s="14"/>
      <c r="AZ730" s="21"/>
      <c r="BA730" s="21"/>
      <c r="BB730" s="21"/>
      <c r="BC730" s="21"/>
      <c r="BD730" s="21"/>
      <c r="BE730" s="21"/>
      <c r="BF730" s="21"/>
      <c r="BG730" s="21"/>
      <c r="BI730" s="20"/>
      <c r="BJ730" s="20"/>
      <c r="BK730" s="20"/>
      <c r="BL730" s="20"/>
      <c r="BM730" s="7"/>
      <c r="BN730" s="7"/>
    </row>
    <row r="731">
      <c r="AE731" s="14"/>
      <c r="AZ731" s="21"/>
      <c r="BA731" s="21"/>
      <c r="BB731" s="21"/>
      <c r="BC731" s="21"/>
      <c r="BD731" s="21"/>
      <c r="BE731" s="21"/>
      <c r="BF731" s="21"/>
      <c r="BG731" s="21"/>
      <c r="BI731" s="20"/>
      <c r="BJ731" s="20"/>
      <c r="BK731" s="20"/>
      <c r="BL731" s="20"/>
      <c r="BM731" s="7"/>
      <c r="BN731" s="7"/>
    </row>
    <row r="732">
      <c r="AE732" s="14"/>
      <c r="AZ732" s="21"/>
      <c r="BA732" s="21"/>
      <c r="BB732" s="21"/>
      <c r="BC732" s="21"/>
      <c r="BD732" s="21"/>
      <c r="BE732" s="21"/>
      <c r="BF732" s="21"/>
      <c r="BG732" s="21"/>
      <c r="BI732" s="20"/>
      <c r="BJ732" s="20"/>
      <c r="BK732" s="20"/>
      <c r="BL732" s="20"/>
      <c r="BM732" s="7"/>
      <c r="BN732" s="7"/>
    </row>
    <row r="733">
      <c r="AE733" s="14"/>
      <c r="AZ733" s="21"/>
      <c r="BA733" s="21"/>
      <c r="BB733" s="21"/>
      <c r="BC733" s="21"/>
      <c r="BD733" s="21"/>
      <c r="BE733" s="21"/>
      <c r="BF733" s="21"/>
      <c r="BG733" s="21"/>
      <c r="BI733" s="20"/>
      <c r="BJ733" s="20"/>
      <c r="BK733" s="20"/>
      <c r="BL733" s="20"/>
      <c r="BM733" s="7"/>
      <c r="BN733" s="7"/>
    </row>
    <row r="734">
      <c r="AE734" s="14"/>
      <c r="AZ734" s="21"/>
      <c r="BA734" s="21"/>
      <c r="BB734" s="21"/>
      <c r="BC734" s="21"/>
      <c r="BD734" s="21"/>
      <c r="BE734" s="21"/>
      <c r="BF734" s="21"/>
      <c r="BG734" s="21"/>
      <c r="BI734" s="20"/>
      <c r="BJ734" s="20"/>
      <c r="BK734" s="20"/>
      <c r="BL734" s="20"/>
      <c r="BM734" s="7"/>
      <c r="BN734" s="7"/>
    </row>
    <row r="735">
      <c r="AE735" s="14"/>
      <c r="AZ735" s="21"/>
      <c r="BA735" s="21"/>
      <c r="BB735" s="21"/>
      <c r="BC735" s="21"/>
      <c r="BD735" s="21"/>
      <c r="BE735" s="21"/>
      <c r="BF735" s="21"/>
      <c r="BG735" s="21"/>
      <c r="BI735" s="20"/>
      <c r="BJ735" s="20"/>
      <c r="BK735" s="20"/>
      <c r="BL735" s="20"/>
      <c r="BM735" s="7"/>
      <c r="BN735" s="7"/>
    </row>
    <row r="736">
      <c r="AE736" s="14"/>
      <c r="AZ736" s="21"/>
      <c r="BA736" s="21"/>
      <c r="BB736" s="21"/>
      <c r="BC736" s="21"/>
      <c r="BD736" s="21"/>
      <c r="BE736" s="21"/>
      <c r="BF736" s="21"/>
      <c r="BG736" s="21"/>
      <c r="BI736" s="20"/>
      <c r="BJ736" s="20"/>
      <c r="BK736" s="20"/>
      <c r="BL736" s="20"/>
      <c r="BM736" s="7"/>
      <c r="BN736" s="7"/>
    </row>
    <row r="737">
      <c r="AE737" s="14"/>
      <c r="AZ737" s="21"/>
      <c r="BA737" s="21"/>
      <c r="BB737" s="21"/>
      <c r="BC737" s="21"/>
      <c r="BD737" s="21"/>
      <c r="BE737" s="21"/>
      <c r="BF737" s="21"/>
      <c r="BG737" s="21"/>
      <c r="BI737" s="20"/>
      <c r="BJ737" s="20"/>
      <c r="BK737" s="20"/>
      <c r="BL737" s="20"/>
      <c r="BM737" s="7"/>
      <c r="BN737" s="7"/>
    </row>
    <row r="738">
      <c r="AE738" s="14"/>
      <c r="AZ738" s="21"/>
      <c r="BA738" s="21"/>
      <c r="BB738" s="21"/>
      <c r="BC738" s="21"/>
      <c r="BD738" s="21"/>
      <c r="BE738" s="21"/>
      <c r="BF738" s="21"/>
      <c r="BG738" s="21"/>
      <c r="BI738" s="20"/>
      <c r="BJ738" s="20"/>
      <c r="BK738" s="20"/>
      <c r="BL738" s="20"/>
      <c r="BM738" s="7"/>
      <c r="BN738" s="7"/>
    </row>
    <row r="739">
      <c r="AE739" s="14"/>
      <c r="AZ739" s="21"/>
      <c r="BA739" s="21"/>
      <c r="BB739" s="21"/>
      <c r="BC739" s="21"/>
      <c r="BD739" s="21"/>
      <c r="BE739" s="21"/>
      <c r="BF739" s="21"/>
      <c r="BG739" s="21"/>
      <c r="BI739" s="20"/>
      <c r="BJ739" s="20"/>
      <c r="BK739" s="20"/>
      <c r="BL739" s="20"/>
      <c r="BM739" s="7"/>
      <c r="BN739" s="7"/>
    </row>
    <row r="740">
      <c r="AE740" s="14"/>
      <c r="AZ740" s="21"/>
      <c r="BA740" s="21"/>
      <c r="BB740" s="21"/>
      <c r="BC740" s="21"/>
      <c r="BD740" s="21"/>
      <c r="BE740" s="21"/>
      <c r="BF740" s="21"/>
      <c r="BG740" s="21"/>
      <c r="BI740" s="20"/>
      <c r="BJ740" s="20"/>
      <c r="BK740" s="20"/>
      <c r="BL740" s="20"/>
      <c r="BM740" s="7"/>
      <c r="BN740" s="7"/>
    </row>
    <row r="741">
      <c r="AE741" s="14"/>
      <c r="AZ741" s="21"/>
      <c r="BA741" s="21"/>
      <c r="BB741" s="21"/>
      <c r="BC741" s="21"/>
      <c r="BD741" s="21"/>
      <c r="BE741" s="21"/>
      <c r="BF741" s="21"/>
      <c r="BG741" s="21"/>
      <c r="BI741" s="20"/>
      <c r="BJ741" s="20"/>
      <c r="BK741" s="20"/>
      <c r="BL741" s="20"/>
      <c r="BM741" s="7"/>
      <c r="BN741" s="7"/>
    </row>
    <row r="742">
      <c r="AE742" s="14"/>
      <c r="AZ742" s="21"/>
      <c r="BA742" s="21"/>
      <c r="BB742" s="21"/>
      <c r="BC742" s="21"/>
      <c r="BD742" s="21"/>
      <c r="BE742" s="21"/>
      <c r="BF742" s="21"/>
      <c r="BG742" s="21"/>
      <c r="BI742" s="20"/>
      <c r="BJ742" s="20"/>
      <c r="BK742" s="20"/>
      <c r="BL742" s="20"/>
      <c r="BM742" s="7"/>
      <c r="BN742" s="7"/>
    </row>
    <row r="743">
      <c r="AE743" s="14"/>
      <c r="AZ743" s="21"/>
      <c r="BA743" s="21"/>
      <c r="BB743" s="21"/>
      <c r="BC743" s="21"/>
      <c r="BD743" s="21"/>
      <c r="BE743" s="21"/>
      <c r="BF743" s="21"/>
      <c r="BG743" s="21"/>
      <c r="BI743" s="20"/>
      <c r="BJ743" s="20"/>
      <c r="BK743" s="20"/>
      <c r="BL743" s="20"/>
      <c r="BM743" s="7"/>
      <c r="BN743" s="7"/>
    </row>
    <row r="744">
      <c r="AE744" s="14"/>
      <c r="AZ744" s="21"/>
      <c r="BA744" s="21"/>
      <c r="BB744" s="21"/>
      <c r="BC744" s="21"/>
      <c r="BD744" s="21"/>
      <c r="BE744" s="21"/>
      <c r="BF744" s="21"/>
      <c r="BG744" s="21"/>
      <c r="BI744" s="20"/>
      <c r="BJ744" s="20"/>
      <c r="BK744" s="20"/>
      <c r="BL744" s="20"/>
      <c r="BM744" s="7"/>
      <c r="BN744" s="7"/>
    </row>
    <row r="745">
      <c r="AE745" s="14"/>
      <c r="AZ745" s="21"/>
      <c r="BA745" s="21"/>
      <c r="BB745" s="21"/>
      <c r="BC745" s="21"/>
      <c r="BD745" s="21"/>
      <c r="BE745" s="21"/>
      <c r="BF745" s="21"/>
      <c r="BG745" s="21"/>
      <c r="BI745" s="20"/>
      <c r="BJ745" s="20"/>
      <c r="BK745" s="20"/>
      <c r="BL745" s="20"/>
      <c r="BM745" s="7"/>
      <c r="BN745" s="7"/>
    </row>
    <row r="746">
      <c r="AE746" s="14"/>
      <c r="AZ746" s="21"/>
      <c r="BA746" s="21"/>
      <c r="BB746" s="21"/>
      <c r="BC746" s="21"/>
      <c r="BD746" s="21"/>
      <c r="BE746" s="21"/>
      <c r="BF746" s="21"/>
      <c r="BG746" s="21"/>
      <c r="BI746" s="20"/>
      <c r="BJ746" s="20"/>
      <c r="BK746" s="20"/>
      <c r="BL746" s="20"/>
      <c r="BM746" s="7"/>
      <c r="BN746" s="7"/>
    </row>
    <row r="747">
      <c r="AE747" s="14"/>
      <c r="AZ747" s="21"/>
      <c r="BA747" s="21"/>
      <c r="BB747" s="21"/>
      <c r="BC747" s="21"/>
      <c r="BD747" s="21"/>
      <c r="BE747" s="21"/>
      <c r="BF747" s="21"/>
      <c r="BG747" s="21"/>
      <c r="BI747" s="20"/>
      <c r="BJ747" s="20"/>
      <c r="BK747" s="20"/>
      <c r="BL747" s="20"/>
      <c r="BM747" s="7"/>
      <c r="BN747" s="7"/>
    </row>
    <row r="748">
      <c r="AE748" s="14"/>
      <c r="AZ748" s="21"/>
      <c r="BA748" s="21"/>
      <c r="BB748" s="21"/>
      <c r="BC748" s="21"/>
      <c r="BD748" s="21"/>
      <c r="BE748" s="21"/>
      <c r="BF748" s="21"/>
      <c r="BG748" s="21"/>
      <c r="BI748" s="20"/>
      <c r="BJ748" s="20"/>
      <c r="BK748" s="20"/>
      <c r="BL748" s="20"/>
      <c r="BM748" s="7"/>
      <c r="BN748" s="7"/>
    </row>
    <row r="749">
      <c r="AE749" s="14"/>
      <c r="AZ749" s="21"/>
      <c r="BA749" s="21"/>
      <c r="BB749" s="21"/>
      <c r="BC749" s="21"/>
      <c r="BD749" s="21"/>
      <c r="BE749" s="21"/>
      <c r="BF749" s="21"/>
      <c r="BG749" s="21"/>
      <c r="BI749" s="20"/>
      <c r="BJ749" s="20"/>
      <c r="BK749" s="20"/>
      <c r="BL749" s="20"/>
      <c r="BM749" s="7"/>
      <c r="BN749" s="7"/>
    </row>
    <row r="750">
      <c r="AE750" s="14"/>
      <c r="AZ750" s="21"/>
      <c r="BA750" s="21"/>
      <c r="BB750" s="21"/>
      <c r="BC750" s="21"/>
      <c r="BD750" s="21"/>
      <c r="BE750" s="21"/>
      <c r="BF750" s="21"/>
      <c r="BG750" s="21"/>
      <c r="BI750" s="20"/>
      <c r="BJ750" s="20"/>
      <c r="BK750" s="20"/>
      <c r="BL750" s="20"/>
      <c r="BM750" s="7"/>
      <c r="BN750" s="7"/>
    </row>
    <row r="751">
      <c r="AE751" s="14"/>
      <c r="AZ751" s="21"/>
      <c r="BA751" s="21"/>
      <c r="BB751" s="21"/>
      <c r="BC751" s="21"/>
      <c r="BD751" s="21"/>
      <c r="BE751" s="21"/>
      <c r="BF751" s="21"/>
      <c r="BG751" s="21"/>
      <c r="BI751" s="20"/>
      <c r="BJ751" s="20"/>
      <c r="BK751" s="20"/>
      <c r="BL751" s="20"/>
      <c r="BM751" s="7"/>
      <c r="BN751" s="7"/>
    </row>
    <row r="752">
      <c r="AE752" s="14"/>
      <c r="AZ752" s="21"/>
      <c r="BA752" s="21"/>
      <c r="BB752" s="21"/>
      <c r="BC752" s="21"/>
      <c r="BD752" s="21"/>
      <c r="BE752" s="21"/>
      <c r="BF752" s="21"/>
      <c r="BG752" s="21"/>
      <c r="BI752" s="20"/>
      <c r="BJ752" s="20"/>
      <c r="BK752" s="20"/>
      <c r="BL752" s="20"/>
      <c r="BM752" s="7"/>
      <c r="BN752" s="7"/>
    </row>
    <row r="753">
      <c r="AE753" s="14"/>
      <c r="AZ753" s="21"/>
      <c r="BA753" s="21"/>
      <c r="BB753" s="21"/>
      <c r="BC753" s="21"/>
      <c r="BD753" s="21"/>
      <c r="BE753" s="21"/>
      <c r="BF753" s="21"/>
      <c r="BG753" s="21"/>
      <c r="BI753" s="20"/>
      <c r="BJ753" s="20"/>
      <c r="BK753" s="20"/>
      <c r="BL753" s="20"/>
      <c r="BM753" s="7"/>
      <c r="BN753" s="7"/>
    </row>
    <row r="754">
      <c r="AE754" s="14"/>
      <c r="AZ754" s="21"/>
      <c r="BA754" s="21"/>
      <c r="BB754" s="21"/>
      <c r="BC754" s="21"/>
      <c r="BD754" s="21"/>
      <c r="BE754" s="21"/>
      <c r="BF754" s="21"/>
      <c r="BG754" s="21"/>
      <c r="BI754" s="20"/>
      <c r="BJ754" s="20"/>
      <c r="BK754" s="20"/>
      <c r="BL754" s="20"/>
      <c r="BM754" s="7"/>
      <c r="BN754" s="7"/>
    </row>
    <row r="755">
      <c r="AE755" s="14"/>
      <c r="AZ755" s="21"/>
      <c r="BA755" s="21"/>
      <c r="BB755" s="21"/>
      <c r="BC755" s="21"/>
      <c r="BD755" s="21"/>
      <c r="BE755" s="21"/>
      <c r="BF755" s="21"/>
      <c r="BG755" s="21"/>
      <c r="BI755" s="20"/>
      <c r="BJ755" s="20"/>
      <c r="BK755" s="20"/>
      <c r="BL755" s="20"/>
      <c r="BM755" s="7"/>
      <c r="BN755" s="7"/>
    </row>
    <row r="756">
      <c r="AE756" s="14"/>
      <c r="AZ756" s="21"/>
      <c r="BA756" s="21"/>
      <c r="BB756" s="21"/>
      <c r="BC756" s="21"/>
      <c r="BD756" s="21"/>
      <c r="BE756" s="21"/>
      <c r="BF756" s="21"/>
      <c r="BG756" s="21"/>
      <c r="BI756" s="20"/>
      <c r="BJ756" s="20"/>
      <c r="BK756" s="20"/>
      <c r="BL756" s="20"/>
      <c r="BM756" s="7"/>
      <c r="BN756" s="7"/>
    </row>
    <row r="757">
      <c r="AE757" s="14"/>
      <c r="AZ757" s="21"/>
      <c r="BA757" s="21"/>
      <c r="BB757" s="21"/>
      <c r="BC757" s="21"/>
      <c r="BD757" s="21"/>
      <c r="BE757" s="21"/>
      <c r="BF757" s="21"/>
      <c r="BG757" s="21"/>
      <c r="BI757" s="20"/>
      <c r="BJ757" s="20"/>
      <c r="BK757" s="20"/>
      <c r="BL757" s="20"/>
      <c r="BM757" s="7"/>
      <c r="BN757" s="7"/>
    </row>
    <row r="758">
      <c r="AE758" s="14"/>
      <c r="AZ758" s="21"/>
      <c r="BA758" s="21"/>
      <c r="BB758" s="21"/>
      <c r="BC758" s="21"/>
      <c r="BD758" s="21"/>
      <c r="BE758" s="21"/>
      <c r="BF758" s="21"/>
      <c r="BG758" s="21"/>
      <c r="BI758" s="20"/>
      <c r="BJ758" s="20"/>
      <c r="BK758" s="20"/>
      <c r="BL758" s="20"/>
      <c r="BM758" s="7"/>
      <c r="BN758" s="7"/>
    </row>
    <row r="759">
      <c r="AE759" s="14"/>
      <c r="AZ759" s="21"/>
      <c r="BA759" s="21"/>
      <c r="BB759" s="21"/>
      <c r="BC759" s="21"/>
      <c r="BD759" s="21"/>
      <c r="BE759" s="21"/>
      <c r="BF759" s="21"/>
      <c r="BG759" s="21"/>
      <c r="BI759" s="20"/>
      <c r="BJ759" s="20"/>
      <c r="BK759" s="20"/>
      <c r="BL759" s="20"/>
      <c r="BM759" s="7"/>
      <c r="BN759" s="7"/>
    </row>
    <row r="760">
      <c r="AE760" s="14"/>
      <c r="AZ760" s="21"/>
      <c r="BA760" s="21"/>
      <c r="BB760" s="21"/>
      <c r="BC760" s="21"/>
      <c r="BD760" s="21"/>
      <c r="BE760" s="21"/>
      <c r="BF760" s="21"/>
      <c r="BG760" s="21"/>
      <c r="BI760" s="20"/>
      <c r="BJ760" s="20"/>
      <c r="BK760" s="20"/>
      <c r="BL760" s="20"/>
      <c r="BM760" s="7"/>
      <c r="BN760" s="7"/>
    </row>
    <row r="761">
      <c r="AE761" s="14"/>
      <c r="AZ761" s="21"/>
      <c r="BA761" s="21"/>
      <c r="BB761" s="21"/>
      <c r="BC761" s="21"/>
      <c r="BD761" s="21"/>
      <c r="BE761" s="21"/>
      <c r="BF761" s="21"/>
      <c r="BG761" s="21"/>
      <c r="BI761" s="20"/>
      <c r="BJ761" s="20"/>
      <c r="BK761" s="20"/>
      <c r="BL761" s="20"/>
      <c r="BM761" s="7"/>
      <c r="BN761" s="7"/>
    </row>
    <row r="762">
      <c r="AE762" s="14"/>
      <c r="AZ762" s="21"/>
      <c r="BA762" s="21"/>
      <c r="BB762" s="21"/>
      <c r="BC762" s="21"/>
      <c r="BD762" s="21"/>
      <c r="BE762" s="21"/>
      <c r="BF762" s="21"/>
      <c r="BG762" s="21"/>
      <c r="BI762" s="20"/>
      <c r="BJ762" s="20"/>
      <c r="BK762" s="20"/>
      <c r="BL762" s="20"/>
      <c r="BM762" s="7"/>
      <c r="BN762" s="7"/>
    </row>
    <row r="763">
      <c r="AE763" s="14"/>
      <c r="AZ763" s="21"/>
      <c r="BA763" s="21"/>
      <c r="BB763" s="21"/>
      <c r="BC763" s="21"/>
      <c r="BD763" s="21"/>
      <c r="BE763" s="21"/>
      <c r="BF763" s="21"/>
      <c r="BG763" s="21"/>
      <c r="BI763" s="20"/>
      <c r="BJ763" s="20"/>
      <c r="BK763" s="20"/>
      <c r="BL763" s="20"/>
      <c r="BM763" s="7"/>
      <c r="BN763" s="7"/>
    </row>
    <row r="764">
      <c r="AE764" s="14"/>
      <c r="AZ764" s="21"/>
      <c r="BA764" s="21"/>
      <c r="BB764" s="21"/>
      <c r="BC764" s="21"/>
      <c r="BD764" s="21"/>
      <c r="BE764" s="21"/>
      <c r="BF764" s="21"/>
      <c r="BG764" s="21"/>
      <c r="BI764" s="20"/>
      <c r="BJ764" s="20"/>
      <c r="BK764" s="20"/>
      <c r="BL764" s="20"/>
      <c r="BM764" s="7"/>
      <c r="BN764" s="7"/>
    </row>
    <row r="765">
      <c r="AE765" s="14"/>
      <c r="AZ765" s="21"/>
      <c r="BA765" s="21"/>
      <c r="BB765" s="21"/>
      <c r="BC765" s="21"/>
      <c r="BD765" s="21"/>
      <c r="BE765" s="21"/>
      <c r="BF765" s="21"/>
      <c r="BG765" s="21"/>
      <c r="BI765" s="20"/>
      <c r="BJ765" s="20"/>
      <c r="BK765" s="20"/>
      <c r="BL765" s="20"/>
      <c r="BM765" s="7"/>
      <c r="BN765" s="7"/>
    </row>
    <row r="766">
      <c r="AE766" s="14"/>
      <c r="AZ766" s="21"/>
      <c r="BA766" s="21"/>
      <c r="BB766" s="21"/>
      <c r="BC766" s="21"/>
      <c r="BD766" s="21"/>
      <c r="BE766" s="21"/>
      <c r="BF766" s="21"/>
      <c r="BG766" s="21"/>
      <c r="BI766" s="20"/>
      <c r="BJ766" s="20"/>
      <c r="BK766" s="20"/>
      <c r="BL766" s="20"/>
      <c r="BM766" s="7"/>
      <c r="BN766" s="7"/>
    </row>
    <row r="767">
      <c r="AE767" s="14"/>
      <c r="AZ767" s="21"/>
      <c r="BA767" s="21"/>
      <c r="BB767" s="21"/>
      <c r="BC767" s="21"/>
      <c r="BD767" s="21"/>
      <c r="BE767" s="21"/>
      <c r="BF767" s="21"/>
      <c r="BG767" s="21"/>
      <c r="BI767" s="20"/>
      <c r="BJ767" s="20"/>
      <c r="BK767" s="20"/>
      <c r="BL767" s="20"/>
      <c r="BM767" s="7"/>
      <c r="BN767" s="7"/>
    </row>
    <row r="768">
      <c r="AE768" s="14"/>
      <c r="AZ768" s="21"/>
      <c r="BA768" s="21"/>
      <c r="BB768" s="21"/>
      <c r="BC768" s="21"/>
      <c r="BD768" s="21"/>
      <c r="BE768" s="21"/>
      <c r="BF768" s="21"/>
      <c r="BG768" s="21"/>
      <c r="BI768" s="20"/>
      <c r="BJ768" s="20"/>
      <c r="BK768" s="20"/>
      <c r="BL768" s="20"/>
      <c r="BM768" s="7"/>
      <c r="BN768" s="7"/>
    </row>
    <row r="769">
      <c r="AE769" s="14"/>
      <c r="AZ769" s="21"/>
      <c r="BA769" s="21"/>
      <c r="BB769" s="21"/>
      <c r="BC769" s="21"/>
      <c r="BD769" s="21"/>
      <c r="BE769" s="21"/>
      <c r="BF769" s="21"/>
      <c r="BG769" s="21"/>
      <c r="BI769" s="20"/>
      <c r="BJ769" s="20"/>
      <c r="BK769" s="20"/>
      <c r="BL769" s="20"/>
      <c r="BM769" s="7"/>
      <c r="BN769" s="7"/>
    </row>
    <row r="770">
      <c r="AE770" s="14"/>
      <c r="AZ770" s="21"/>
      <c r="BA770" s="21"/>
      <c r="BB770" s="21"/>
      <c r="BC770" s="21"/>
      <c r="BD770" s="21"/>
      <c r="BE770" s="21"/>
      <c r="BF770" s="21"/>
      <c r="BG770" s="21"/>
      <c r="BI770" s="20"/>
      <c r="BJ770" s="20"/>
      <c r="BK770" s="20"/>
      <c r="BL770" s="20"/>
      <c r="BM770" s="7"/>
      <c r="BN770" s="7"/>
    </row>
    <row r="771">
      <c r="AE771" s="14"/>
      <c r="AZ771" s="21"/>
      <c r="BA771" s="21"/>
      <c r="BB771" s="21"/>
      <c r="BC771" s="21"/>
      <c r="BD771" s="21"/>
      <c r="BE771" s="21"/>
      <c r="BF771" s="21"/>
      <c r="BG771" s="21"/>
      <c r="BI771" s="20"/>
      <c r="BJ771" s="20"/>
      <c r="BK771" s="20"/>
      <c r="BL771" s="20"/>
      <c r="BM771" s="7"/>
      <c r="BN771" s="7"/>
    </row>
    <row r="772">
      <c r="AE772" s="14"/>
      <c r="AZ772" s="21"/>
      <c r="BA772" s="21"/>
      <c r="BB772" s="21"/>
      <c r="BC772" s="21"/>
      <c r="BD772" s="21"/>
      <c r="BE772" s="21"/>
      <c r="BF772" s="21"/>
      <c r="BG772" s="21"/>
      <c r="BI772" s="20"/>
      <c r="BJ772" s="20"/>
      <c r="BK772" s="20"/>
      <c r="BL772" s="20"/>
      <c r="BM772" s="7"/>
      <c r="BN772" s="7"/>
    </row>
    <row r="773">
      <c r="AE773" s="14"/>
      <c r="AZ773" s="21"/>
      <c r="BA773" s="21"/>
      <c r="BB773" s="21"/>
      <c r="BC773" s="21"/>
      <c r="BD773" s="21"/>
      <c r="BE773" s="21"/>
      <c r="BF773" s="21"/>
      <c r="BG773" s="21"/>
      <c r="BI773" s="20"/>
      <c r="BJ773" s="20"/>
      <c r="BK773" s="20"/>
      <c r="BL773" s="20"/>
      <c r="BM773" s="7"/>
      <c r="BN773" s="7"/>
    </row>
    <row r="774">
      <c r="AE774" s="14"/>
      <c r="AZ774" s="21"/>
      <c r="BA774" s="21"/>
      <c r="BB774" s="21"/>
      <c r="BC774" s="21"/>
      <c r="BD774" s="21"/>
      <c r="BE774" s="21"/>
      <c r="BF774" s="21"/>
      <c r="BG774" s="21"/>
      <c r="BI774" s="20"/>
      <c r="BJ774" s="20"/>
      <c r="BK774" s="20"/>
      <c r="BL774" s="20"/>
      <c r="BM774" s="7"/>
      <c r="BN774" s="7"/>
    </row>
    <row r="775">
      <c r="AE775" s="14"/>
      <c r="AZ775" s="21"/>
      <c r="BA775" s="21"/>
      <c r="BB775" s="21"/>
      <c r="BC775" s="21"/>
      <c r="BD775" s="21"/>
      <c r="BE775" s="21"/>
      <c r="BF775" s="21"/>
      <c r="BG775" s="21"/>
      <c r="BI775" s="20"/>
      <c r="BJ775" s="20"/>
      <c r="BK775" s="20"/>
      <c r="BL775" s="20"/>
      <c r="BM775" s="7"/>
      <c r="BN775" s="7"/>
    </row>
    <row r="776">
      <c r="AE776" s="14"/>
      <c r="AZ776" s="21"/>
      <c r="BA776" s="21"/>
      <c r="BB776" s="21"/>
      <c r="BC776" s="21"/>
      <c r="BD776" s="21"/>
      <c r="BE776" s="21"/>
      <c r="BF776" s="21"/>
      <c r="BG776" s="21"/>
      <c r="BI776" s="20"/>
      <c r="BJ776" s="20"/>
      <c r="BK776" s="20"/>
      <c r="BL776" s="20"/>
      <c r="BM776" s="7"/>
      <c r="BN776" s="7"/>
    </row>
    <row r="777">
      <c r="AE777" s="14"/>
      <c r="AZ777" s="21"/>
      <c r="BA777" s="21"/>
      <c r="BB777" s="21"/>
      <c r="BC777" s="21"/>
      <c r="BD777" s="21"/>
      <c r="BE777" s="21"/>
      <c r="BF777" s="21"/>
      <c r="BG777" s="21"/>
      <c r="BI777" s="20"/>
      <c r="BJ777" s="20"/>
      <c r="BK777" s="20"/>
      <c r="BL777" s="20"/>
      <c r="BM777" s="7"/>
      <c r="BN777" s="7"/>
    </row>
    <row r="778">
      <c r="AE778" s="14"/>
      <c r="AZ778" s="21"/>
      <c r="BA778" s="21"/>
      <c r="BB778" s="21"/>
      <c r="BC778" s="21"/>
      <c r="BD778" s="21"/>
      <c r="BE778" s="21"/>
      <c r="BF778" s="21"/>
      <c r="BG778" s="21"/>
      <c r="BI778" s="20"/>
      <c r="BJ778" s="20"/>
      <c r="BK778" s="20"/>
      <c r="BL778" s="20"/>
      <c r="BM778" s="7"/>
      <c r="BN778" s="7"/>
    </row>
    <row r="779">
      <c r="AE779" s="14"/>
      <c r="AZ779" s="21"/>
      <c r="BA779" s="21"/>
      <c r="BB779" s="21"/>
      <c r="BC779" s="21"/>
      <c r="BD779" s="21"/>
      <c r="BE779" s="21"/>
      <c r="BF779" s="21"/>
      <c r="BG779" s="21"/>
      <c r="BI779" s="20"/>
      <c r="BJ779" s="20"/>
      <c r="BK779" s="20"/>
      <c r="BL779" s="20"/>
      <c r="BM779" s="7"/>
      <c r="BN779" s="7"/>
    </row>
    <row r="780">
      <c r="AE780" s="14"/>
      <c r="AZ780" s="21"/>
      <c r="BA780" s="21"/>
      <c r="BB780" s="21"/>
      <c r="BC780" s="21"/>
      <c r="BD780" s="21"/>
      <c r="BE780" s="21"/>
      <c r="BF780" s="21"/>
      <c r="BG780" s="21"/>
      <c r="BI780" s="20"/>
      <c r="BJ780" s="20"/>
      <c r="BK780" s="20"/>
      <c r="BL780" s="20"/>
      <c r="BM780" s="7"/>
      <c r="BN780" s="7"/>
    </row>
    <row r="781">
      <c r="AE781" s="14"/>
      <c r="AZ781" s="21"/>
      <c r="BA781" s="21"/>
      <c r="BB781" s="21"/>
      <c r="BC781" s="21"/>
      <c r="BD781" s="21"/>
      <c r="BE781" s="21"/>
      <c r="BF781" s="21"/>
      <c r="BG781" s="21"/>
      <c r="BI781" s="20"/>
      <c r="BJ781" s="20"/>
      <c r="BK781" s="20"/>
      <c r="BL781" s="20"/>
      <c r="BM781" s="7"/>
      <c r="BN781" s="7"/>
    </row>
    <row r="782">
      <c r="AE782" s="14"/>
      <c r="AZ782" s="21"/>
      <c r="BA782" s="21"/>
      <c r="BB782" s="21"/>
      <c r="BC782" s="21"/>
      <c r="BD782" s="21"/>
      <c r="BE782" s="21"/>
      <c r="BF782" s="21"/>
      <c r="BG782" s="21"/>
      <c r="BI782" s="20"/>
      <c r="BJ782" s="20"/>
      <c r="BK782" s="20"/>
      <c r="BL782" s="20"/>
      <c r="BM782" s="7"/>
      <c r="BN782" s="7"/>
    </row>
    <row r="783">
      <c r="AE783" s="14"/>
      <c r="AZ783" s="21"/>
      <c r="BA783" s="21"/>
      <c r="BB783" s="21"/>
      <c r="BC783" s="21"/>
      <c r="BD783" s="21"/>
      <c r="BE783" s="21"/>
      <c r="BF783" s="21"/>
      <c r="BG783" s="21"/>
      <c r="BI783" s="20"/>
      <c r="BJ783" s="20"/>
      <c r="BK783" s="20"/>
      <c r="BL783" s="20"/>
      <c r="BM783" s="7"/>
      <c r="BN783" s="7"/>
    </row>
    <row r="784">
      <c r="AE784" s="14"/>
      <c r="AZ784" s="21"/>
      <c r="BA784" s="21"/>
      <c r="BB784" s="21"/>
      <c r="BC784" s="21"/>
      <c r="BD784" s="21"/>
      <c r="BE784" s="21"/>
      <c r="BF784" s="21"/>
      <c r="BG784" s="21"/>
      <c r="BI784" s="20"/>
      <c r="BJ784" s="20"/>
      <c r="BK784" s="20"/>
      <c r="BL784" s="20"/>
      <c r="BM784" s="7"/>
      <c r="BN784" s="7"/>
    </row>
    <row r="785">
      <c r="AE785" s="14"/>
      <c r="AZ785" s="21"/>
      <c r="BA785" s="21"/>
      <c r="BB785" s="21"/>
      <c r="BC785" s="21"/>
      <c r="BD785" s="21"/>
      <c r="BE785" s="21"/>
      <c r="BF785" s="21"/>
      <c r="BG785" s="21"/>
      <c r="BI785" s="20"/>
      <c r="BJ785" s="20"/>
      <c r="BK785" s="20"/>
      <c r="BL785" s="20"/>
      <c r="BM785" s="7"/>
      <c r="BN785" s="7"/>
    </row>
    <row r="786">
      <c r="AE786" s="14"/>
      <c r="AZ786" s="21"/>
      <c r="BA786" s="21"/>
      <c r="BB786" s="21"/>
      <c r="BC786" s="21"/>
      <c r="BD786" s="21"/>
      <c r="BE786" s="21"/>
      <c r="BF786" s="21"/>
      <c r="BG786" s="21"/>
      <c r="BI786" s="20"/>
      <c r="BJ786" s="20"/>
      <c r="BK786" s="20"/>
      <c r="BL786" s="20"/>
      <c r="BM786" s="7"/>
      <c r="BN786" s="7"/>
    </row>
    <row r="787">
      <c r="AE787" s="14"/>
      <c r="AZ787" s="21"/>
      <c r="BA787" s="21"/>
      <c r="BB787" s="21"/>
      <c r="BC787" s="21"/>
      <c r="BD787" s="21"/>
      <c r="BE787" s="21"/>
      <c r="BF787" s="21"/>
      <c r="BG787" s="21"/>
      <c r="BI787" s="20"/>
      <c r="BJ787" s="20"/>
      <c r="BK787" s="20"/>
      <c r="BL787" s="20"/>
      <c r="BM787" s="7"/>
      <c r="BN787" s="7"/>
    </row>
    <row r="788">
      <c r="AE788" s="14"/>
      <c r="AZ788" s="21"/>
      <c r="BA788" s="21"/>
      <c r="BB788" s="21"/>
      <c r="BC788" s="21"/>
      <c r="BD788" s="21"/>
      <c r="BE788" s="21"/>
      <c r="BF788" s="21"/>
      <c r="BG788" s="21"/>
      <c r="BI788" s="20"/>
      <c r="BJ788" s="20"/>
      <c r="BK788" s="20"/>
      <c r="BL788" s="20"/>
      <c r="BM788" s="7"/>
      <c r="BN788" s="7"/>
    </row>
    <row r="789">
      <c r="AE789" s="14"/>
      <c r="AZ789" s="21"/>
      <c r="BA789" s="21"/>
      <c r="BB789" s="21"/>
      <c r="BC789" s="21"/>
      <c r="BD789" s="21"/>
      <c r="BE789" s="21"/>
      <c r="BF789" s="21"/>
      <c r="BG789" s="21"/>
      <c r="BI789" s="20"/>
      <c r="BJ789" s="20"/>
      <c r="BK789" s="20"/>
      <c r="BL789" s="20"/>
      <c r="BM789" s="7"/>
      <c r="BN789" s="7"/>
    </row>
    <row r="790">
      <c r="AE790" s="14"/>
      <c r="AZ790" s="21"/>
      <c r="BA790" s="21"/>
      <c r="BB790" s="21"/>
      <c r="BC790" s="21"/>
      <c r="BD790" s="21"/>
      <c r="BE790" s="21"/>
      <c r="BF790" s="21"/>
      <c r="BG790" s="21"/>
      <c r="BI790" s="20"/>
      <c r="BJ790" s="20"/>
      <c r="BK790" s="20"/>
      <c r="BL790" s="20"/>
      <c r="BM790" s="7"/>
      <c r="BN790" s="7"/>
    </row>
    <row r="791">
      <c r="AE791" s="14"/>
      <c r="AZ791" s="21"/>
      <c r="BA791" s="21"/>
      <c r="BB791" s="21"/>
      <c r="BC791" s="21"/>
      <c r="BD791" s="21"/>
      <c r="BE791" s="21"/>
      <c r="BF791" s="21"/>
      <c r="BG791" s="21"/>
      <c r="BI791" s="20"/>
      <c r="BJ791" s="20"/>
      <c r="BK791" s="20"/>
      <c r="BL791" s="20"/>
      <c r="BM791" s="7"/>
      <c r="BN791" s="7"/>
    </row>
    <row r="792">
      <c r="AE792" s="14"/>
      <c r="AZ792" s="21"/>
      <c r="BA792" s="21"/>
      <c r="BB792" s="21"/>
      <c r="BC792" s="21"/>
      <c r="BD792" s="21"/>
      <c r="BE792" s="21"/>
      <c r="BF792" s="21"/>
      <c r="BG792" s="21"/>
      <c r="BI792" s="20"/>
      <c r="BJ792" s="20"/>
      <c r="BK792" s="20"/>
      <c r="BL792" s="20"/>
      <c r="BM792" s="7"/>
      <c r="BN792" s="7"/>
    </row>
    <row r="793">
      <c r="AE793" s="14"/>
      <c r="AZ793" s="21"/>
      <c r="BA793" s="21"/>
      <c r="BB793" s="21"/>
      <c r="BC793" s="21"/>
      <c r="BD793" s="21"/>
      <c r="BE793" s="21"/>
      <c r="BF793" s="21"/>
      <c r="BG793" s="21"/>
      <c r="BI793" s="20"/>
      <c r="BJ793" s="20"/>
      <c r="BK793" s="20"/>
      <c r="BL793" s="20"/>
      <c r="BM793" s="7"/>
      <c r="BN793" s="7"/>
    </row>
    <row r="794">
      <c r="AE794" s="14"/>
      <c r="AZ794" s="21"/>
      <c r="BA794" s="21"/>
      <c r="BB794" s="21"/>
      <c r="BC794" s="21"/>
      <c r="BD794" s="21"/>
      <c r="BE794" s="21"/>
      <c r="BF794" s="21"/>
      <c r="BG794" s="21"/>
      <c r="BI794" s="20"/>
      <c r="BJ794" s="20"/>
      <c r="BK794" s="20"/>
      <c r="BL794" s="20"/>
      <c r="BM794" s="7"/>
      <c r="BN794" s="7"/>
    </row>
    <row r="795">
      <c r="AE795" s="14"/>
      <c r="AZ795" s="21"/>
      <c r="BA795" s="21"/>
      <c r="BB795" s="21"/>
      <c r="BC795" s="21"/>
      <c r="BD795" s="21"/>
      <c r="BE795" s="21"/>
      <c r="BF795" s="21"/>
      <c r="BG795" s="21"/>
      <c r="BI795" s="20"/>
      <c r="BJ795" s="20"/>
      <c r="BK795" s="20"/>
      <c r="BL795" s="20"/>
      <c r="BM795" s="7"/>
      <c r="BN795" s="7"/>
    </row>
    <row r="796">
      <c r="AE796" s="14"/>
      <c r="AZ796" s="21"/>
      <c r="BA796" s="21"/>
      <c r="BB796" s="21"/>
      <c r="BC796" s="21"/>
      <c r="BD796" s="21"/>
      <c r="BE796" s="21"/>
      <c r="BF796" s="21"/>
      <c r="BG796" s="21"/>
      <c r="BI796" s="20"/>
      <c r="BJ796" s="20"/>
      <c r="BK796" s="20"/>
      <c r="BL796" s="20"/>
      <c r="BM796" s="7"/>
      <c r="BN796" s="7"/>
    </row>
    <row r="797">
      <c r="AE797" s="14"/>
      <c r="AZ797" s="21"/>
      <c r="BA797" s="21"/>
      <c r="BB797" s="21"/>
      <c r="BC797" s="21"/>
      <c r="BD797" s="21"/>
      <c r="BE797" s="21"/>
      <c r="BF797" s="21"/>
      <c r="BG797" s="21"/>
      <c r="BI797" s="20"/>
      <c r="BJ797" s="20"/>
      <c r="BK797" s="20"/>
      <c r="BL797" s="20"/>
      <c r="BM797" s="7"/>
      <c r="BN797" s="7"/>
    </row>
    <row r="798">
      <c r="AE798" s="14"/>
      <c r="AZ798" s="21"/>
      <c r="BA798" s="21"/>
      <c r="BB798" s="21"/>
      <c r="BC798" s="21"/>
      <c r="BD798" s="21"/>
      <c r="BE798" s="21"/>
      <c r="BF798" s="21"/>
      <c r="BG798" s="21"/>
      <c r="BI798" s="20"/>
      <c r="BJ798" s="20"/>
      <c r="BK798" s="20"/>
      <c r="BL798" s="20"/>
      <c r="BM798" s="7"/>
      <c r="BN798" s="7"/>
    </row>
    <row r="799">
      <c r="AE799" s="14"/>
      <c r="AZ799" s="21"/>
      <c r="BA799" s="21"/>
      <c r="BB799" s="21"/>
      <c r="BC799" s="21"/>
      <c r="BD799" s="21"/>
      <c r="BE799" s="21"/>
      <c r="BF799" s="21"/>
      <c r="BG799" s="21"/>
      <c r="BI799" s="20"/>
      <c r="BJ799" s="20"/>
      <c r="BK799" s="20"/>
      <c r="BL799" s="20"/>
      <c r="BM799" s="7"/>
      <c r="BN799" s="7"/>
    </row>
    <row r="800">
      <c r="AE800" s="14"/>
      <c r="AZ800" s="21"/>
      <c r="BA800" s="21"/>
      <c r="BB800" s="21"/>
      <c r="BC800" s="21"/>
      <c r="BD800" s="21"/>
      <c r="BE800" s="21"/>
      <c r="BF800" s="21"/>
      <c r="BG800" s="21"/>
      <c r="BI800" s="20"/>
      <c r="BJ800" s="20"/>
      <c r="BK800" s="20"/>
      <c r="BL800" s="20"/>
      <c r="BM800" s="7"/>
      <c r="BN800" s="7"/>
    </row>
    <row r="801">
      <c r="AE801" s="14"/>
      <c r="AZ801" s="21"/>
      <c r="BA801" s="21"/>
      <c r="BB801" s="21"/>
      <c r="BC801" s="21"/>
      <c r="BD801" s="21"/>
      <c r="BE801" s="21"/>
      <c r="BF801" s="21"/>
      <c r="BG801" s="21"/>
      <c r="BI801" s="20"/>
      <c r="BJ801" s="20"/>
      <c r="BK801" s="20"/>
      <c r="BL801" s="20"/>
      <c r="BM801" s="7"/>
      <c r="BN801" s="7"/>
    </row>
    <row r="802">
      <c r="AE802" s="14"/>
      <c r="AZ802" s="21"/>
      <c r="BA802" s="21"/>
      <c r="BB802" s="21"/>
      <c r="BC802" s="21"/>
      <c r="BD802" s="21"/>
      <c r="BE802" s="21"/>
      <c r="BF802" s="21"/>
      <c r="BG802" s="21"/>
      <c r="BI802" s="20"/>
      <c r="BJ802" s="20"/>
      <c r="BK802" s="20"/>
      <c r="BL802" s="20"/>
      <c r="BM802" s="7"/>
      <c r="BN802" s="7"/>
    </row>
    <row r="803">
      <c r="AE803" s="14"/>
      <c r="AZ803" s="21"/>
      <c r="BA803" s="21"/>
      <c r="BB803" s="21"/>
      <c r="BC803" s="21"/>
      <c r="BD803" s="21"/>
      <c r="BE803" s="21"/>
      <c r="BF803" s="21"/>
      <c r="BG803" s="21"/>
      <c r="BI803" s="20"/>
      <c r="BJ803" s="20"/>
      <c r="BK803" s="20"/>
      <c r="BL803" s="20"/>
      <c r="BM803" s="7"/>
      <c r="BN803" s="7"/>
    </row>
    <row r="804">
      <c r="AE804" s="14"/>
      <c r="AZ804" s="21"/>
      <c r="BA804" s="21"/>
      <c r="BB804" s="21"/>
      <c r="BC804" s="21"/>
      <c r="BD804" s="21"/>
      <c r="BE804" s="21"/>
      <c r="BF804" s="21"/>
      <c r="BG804" s="21"/>
      <c r="BI804" s="20"/>
      <c r="BJ804" s="20"/>
      <c r="BK804" s="20"/>
      <c r="BL804" s="20"/>
      <c r="BM804" s="7"/>
      <c r="BN804" s="7"/>
    </row>
    <row r="805">
      <c r="AE805" s="14"/>
      <c r="AZ805" s="21"/>
      <c r="BA805" s="21"/>
      <c r="BB805" s="21"/>
      <c r="BC805" s="21"/>
      <c r="BD805" s="21"/>
      <c r="BE805" s="21"/>
      <c r="BF805" s="21"/>
      <c r="BG805" s="21"/>
      <c r="BI805" s="20"/>
      <c r="BJ805" s="20"/>
      <c r="BK805" s="20"/>
      <c r="BL805" s="20"/>
      <c r="BM805" s="7"/>
      <c r="BN805" s="7"/>
    </row>
    <row r="806">
      <c r="AE806" s="14"/>
      <c r="AZ806" s="21"/>
      <c r="BA806" s="21"/>
      <c r="BB806" s="21"/>
      <c r="BC806" s="21"/>
      <c r="BD806" s="21"/>
      <c r="BE806" s="21"/>
      <c r="BF806" s="21"/>
      <c r="BG806" s="21"/>
      <c r="BI806" s="20"/>
      <c r="BJ806" s="20"/>
      <c r="BK806" s="20"/>
      <c r="BL806" s="20"/>
      <c r="BM806" s="7"/>
      <c r="BN806" s="7"/>
    </row>
    <row r="807">
      <c r="AE807" s="14"/>
      <c r="AZ807" s="21"/>
      <c r="BA807" s="21"/>
      <c r="BB807" s="21"/>
      <c r="BC807" s="21"/>
      <c r="BD807" s="21"/>
      <c r="BE807" s="21"/>
      <c r="BF807" s="21"/>
      <c r="BG807" s="21"/>
      <c r="BI807" s="20"/>
      <c r="BJ807" s="20"/>
      <c r="BK807" s="20"/>
      <c r="BL807" s="20"/>
      <c r="BM807" s="7"/>
      <c r="BN807" s="7"/>
    </row>
    <row r="808">
      <c r="AE808" s="14"/>
      <c r="AZ808" s="21"/>
      <c r="BA808" s="21"/>
      <c r="BB808" s="21"/>
      <c r="BC808" s="21"/>
      <c r="BD808" s="21"/>
      <c r="BE808" s="21"/>
      <c r="BF808" s="21"/>
      <c r="BG808" s="21"/>
      <c r="BI808" s="20"/>
      <c r="BJ808" s="20"/>
      <c r="BK808" s="20"/>
      <c r="BL808" s="20"/>
      <c r="BM808" s="7"/>
      <c r="BN808" s="7"/>
    </row>
    <row r="809">
      <c r="AE809" s="14"/>
      <c r="AZ809" s="21"/>
      <c r="BA809" s="21"/>
      <c r="BB809" s="21"/>
      <c r="BC809" s="21"/>
      <c r="BD809" s="21"/>
      <c r="BE809" s="21"/>
      <c r="BF809" s="21"/>
      <c r="BG809" s="21"/>
      <c r="BI809" s="20"/>
      <c r="BJ809" s="20"/>
      <c r="BK809" s="20"/>
      <c r="BL809" s="20"/>
      <c r="BM809" s="7"/>
      <c r="BN809" s="7"/>
    </row>
    <row r="810">
      <c r="AE810" s="14"/>
      <c r="AZ810" s="21"/>
      <c r="BA810" s="21"/>
      <c r="BB810" s="21"/>
      <c r="BC810" s="21"/>
      <c r="BD810" s="21"/>
      <c r="BE810" s="21"/>
      <c r="BF810" s="21"/>
      <c r="BG810" s="21"/>
      <c r="BI810" s="20"/>
      <c r="BJ810" s="20"/>
      <c r="BK810" s="20"/>
      <c r="BL810" s="20"/>
      <c r="BM810" s="7"/>
      <c r="BN810" s="7"/>
    </row>
    <row r="811">
      <c r="AE811" s="14"/>
      <c r="AZ811" s="21"/>
      <c r="BA811" s="21"/>
      <c r="BB811" s="21"/>
      <c r="BC811" s="21"/>
      <c r="BD811" s="21"/>
      <c r="BE811" s="21"/>
      <c r="BF811" s="21"/>
      <c r="BG811" s="21"/>
      <c r="BI811" s="20"/>
      <c r="BJ811" s="20"/>
      <c r="BK811" s="20"/>
      <c r="BL811" s="20"/>
      <c r="BM811" s="7"/>
      <c r="BN811" s="7"/>
    </row>
    <row r="812">
      <c r="AE812" s="14"/>
      <c r="AZ812" s="21"/>
      <c r="BA812" s="21"/>
      <c r="BB812" s="21"/>
      <c r="BC812" s="21"/>
      <c r="BD812" s="21"/>
      <c r="BE812" s="21"/>
      <c r="BF812" s="21"/>
      <c r="BG812" s="21"/>
      <c r="BI812" s="20"/>
      <c r="BJ812" s="20"/>
      <c r="BK812" s="20"/>
      <c r="BL812" s="20"/>
      <c r="BM812" s="7"/>
      <c r="BN812" s="7"/>
    </row>
    <row r="813">
      <c r="AE813" s="14"/>
      <c r="AZ813" s="21"/>
      <c r="BA813" s="21"/>
      <c r="BB813" s="21"/>
      <c r="BC813" s="21"/>
      <c r="BD813" s="21"/>
      <c r="BE813" s="21"/>
      <c r="BF813" s="21"/>
      <c r="BG813" s="21"/>
      <c r="BI813" s="20"/>
      <c r="BJ813" s="20"/>
      <c r="BK813" s="20"/>
      <c r="BL813" s="20"/>
      <c r="BM813" s="7"/>
      <c r="BN813" s="7"/>
    </row>
    <row r="814">
      <c r="AE814" s="14"/>
      <c r="AZ814" s="21"/>
      <c r="BA814" s="21"/>
      <c r="BB814" s="21"/>
      <c r="BC814" s="21"/>
      <c r="BD814" s="21"/>
      <c r="BE814" s="21"/>
      <c r="BF814" s="21"/>
      <c r="BG814" s="21"/>
      <c r="BI814" s="20"/>
      <c r="BJ814" s="20"/>
      <c r="BK814" s="20"/>
      <c r="BL814" s="20"/>
      <c r="BM814" s="7"/>
      <c r="BN814" s="7"/>
    </row>
    <row r="815">
      <c r="AE815" s="14"/>
      <c r="AZ815" s="21"/>
      <c r="BA815" s="21"/>
      <c r="BB815" s="21"/>
      <c r="BC815" s="21"/>
      <c r="BD815" s="21"/>
      <c r="BE815" s="21"/>
      <c r="BF815" s="21"/>
      <c r="BG815" s="21"/>
      <c r="BI815" s="20"/>
      <c r="BJ815" s="20"/>
      <c r="BK815" s="20"/>
      <c r="BL815" s="20"/>
      <c r="BM815" s="7"/>
      <c r="BN815" s="7"/>
    </row>
    <row r="816">
      <c r="AE816" s="14"/>
      <c r="AZ816" s="21"/>
      <c r="BA816" s="21"/>
      <c r="BB816" s="21"/>
      <c r="BC816" s="21"/>
      <c r="BD816" s="21"/>
      <c r="BE816" s="21"/>
      <c r="BF816" s="21"/>
      <c r="BG816" s="21"/>
      <c r="BI816" s="20"/>
      <c r="BJ816" s="20"/>
      <c r="BK816" s="20"/>
      <c r="BL816" s="20"/>
      <c r="BM816" s="7"/>
      <c r="BN816" s="7"/>
    </row>
    <row r="817">
      <c r="AE817" s="14"/>
      <c r="AZ817" s="21"/>
      <c r="BA817" s="21"/>
      <c r="BB817" s="21"/>
      <c r="BC817" s="21"/>
      <c r="BD817" s="21"/>
      <c r="BE817" s="21"/>
      <c r="BF817" s="21"/>
      <c r="BG817" s="21"/>
      <c r="BI817" s="20"/>
      <c r="BJ817" s="20"/>
      <c r="BK817" s="20"/>
      <c r="BL817" s="20"/>
      <c r="BM817" s="7"/>
      <c r="BN817" s="7"/>
    </row>
    <row r="818">
      <c r="AE818" s="14"/>
      <c r="AZ818" s="21"/>
      <c r="BA818" s="21"/>
      <c r="BB818" s="21"/>
      <c r="BC818" s="21"/>
      <c r="BD818" s="21"/>
      <c r="BE818" s="21"/>
      <c r="BF818" s="21"/>
      <c r="BG818" s="21"/>
      <c r="BI818" s="20"/>
      <c r="BJ818" s="20"/>
      <c r="BK818" s="20"/>
      <c r="BL818" s="20"/>
      <c r="BM818" s="7"/>
      <c r="BN818" s="7"/>
    </row>
    <row r="819">
      <c r="AE819" s="14"/>
      <c r="AZ819" s="21"/>
      <c r="BA819" s="21"/>
      <c r="BB819" s="21"/>
      <c r="BC819" s="21"/>
      <c r="BD819" s="21"/>
      <c r="BE819" s="21"/>
      <c r="BF819" s="21"/>
      <c r="BG819" s="21"/>
      <c r="BI819" s="20"/>
      <c r="BJ819" s="20"/>
      <c r="BK819" s="20"/>
      <c r="BL819" s="20"/>
      <c r="BM819" s="7"/>
      <c r="BN819" s="7"/>
    </row>
    <row r="820">
      <c r="AE820" s="14"/>
      <c r="AZ820" s="21"/>
      <c r="BA820" s="21"/>
      <c r="BB820" s="21"/>
      <c r="BC820" s="21"/>
      <c r="BD820" s="21"/>
      <c r="BE820" s="21"/>
      <c r="BF820" s="21"/>
      <c r="BG820" s="21"/>
      <c r="BI820" s="20"/>
      <c r="BJ820" s="20"/>
      <c r="BK820" s="20"/>
      <c r="BL820" s="20"/>
      <c r="BM820" s="7"/>
      <c r="BN820" s="7"/>
    </row>
    <row r="821">
      <c r="AE821" s="14"/>
      <c r="AZ821" s="21"/>
      <c r="BA821" s="21"/>
      <c r="BB821" s="21"/>
      <c r="BC821" s="21"/>
      <c r="BD821" s="21"/>
      <c r="BE821" s="21"/>
      <c r="BF821" s="21"/>
      <c r="BG821" s="21"/>
      <c r="BI821" s="20"/>
      <c r="BJ821" s="20"/>
      <c r="BK821" s="20"/>
      <c r="BL821" s="20"/>
      <c r="BM821" s="7"/>
      <c r="BN821" s="7"/>
    </row>
    <row r="822">
      <c r="AE822" s="14"/>
      <c r="AZ822" s="21"/>
      <c r="BA822" s="21"/>
      <c r="BB822" s="21"/>
      <c r="BC822" s="21"/>
      <c r="BD822" s="21"/>
      <c r="BE822" s="21"/>
      <c r="BF822" s="21"/>
      <c r="BG822" s="21"/>
      <c r="BI822" s="20"/>
      <c r="BJ822" s="20"/>
      <c r="BK822" s="20"/>
      <c r="BL822" s="20"/>
      <c r="BM822" s="7"/>
      <c r="BN822" s="7"/>
    </row>
    <row r="823">
      <c r="AE823" s="14"/>
      <c r="AZ823" s="21"/>
      <c r="BA823" s="21"/>
      <c r="BB823" s="21"/>
      <c r="BC823" s="21"/>
      <c r="BD823" s="21"/>
      <c r="BE823" s="21"/>
      <c r="BF823" s="21"/>
      <c r="BG823" s="21"/>
      <c r="BI823" s="20"/>
      <c r="BJ823" s="20"/>
      <c r="BK823" s="20"/>
      <c r="BL823" s="20"/>
      <c r="BM823" s="7"/>
      <c r="BN823" s="7"/>
    </row>
    <row r="824">
      <c r="AE824" s="14"/>
      <c r="AZ824" s="21"/>
      <c r="BA824" s="21"/>
      <c r="BB824" s="21"/>
      <c r="BC824" s="21"/>
      <c r="BD824" s="21"/>
      <c r="BE824" s="21"/>
      <c r="BF824" s="21"/>
      <c r="BG824" s="21"/>
      <c r="BI824" s="20"/>
      <c r="BJ824" s="20"/>
      <c r="BK824" s="20"/>
      <c r="BL824" s="20"/>
      <c r="BM824" s="7"/>
      <c r="BN824" s="7"/>
    </row>
    <row r="825">
      <c r="AE825" s="14"/>
      <c r="AZ825" s="21"/>
      <c r="BA825" s="21"/>
      <c r="BB825" s="21"/>
      <c r="BC825" s="21"/>
      <c r="BD825" s="21"/>
      <c r="BE825" s="21"/>
      <c r="BF825" s="21"/>
      <c r="BG825" s="21"/>
      <c r="BI825" s="20"/>
      <c r="BJ825" s="20"/>
      <c r="BK825" s="20"/>
      <c r="BL825" s="20"/>
      <c r="BM825" s="7"/>
      <c r="BN825" s="7"/>
    </row>
    <row r="826">
      <c r="AE826" s="14"/>
      <c r="AZ826" s="21"/>
      <c r="BA826" s="21"/>
      <c r="BB826" s="21"/>
      <c r="BC826" s="21"/>
      <c r="BD826" s="21"/>
      <c r="BE826" s="21"/>
      <c r="BF826" s="21"/>
      <c r="BG826" s="21"/>
      <c r="BI826" s="20"/>
      <c r="BJ826" s="20"/>
      <c r="BK826" s="20"/>
      <c r="BL826" s="20"/>
      <c r="BM826" s="7"/>
      <c r="BN826" s="7"/>
    </row>
    <row r="827">
      <c r="AE827" s="14"/>
      <c r="AZ827" s="21"/>
      <c r="BA827" s="21"/>
      <c r="BB827" s="21"/>
      <c r="BC827" s="21"/>
      <c r="BD827" s="21"/>
      <c r="BE827" s="21"/>
      <c r="BF827" s="21"/>
      <c r="BG827" s="21"/>
      <c r="BI827" s="20"/>
      <c r="BJ827" s="20"/>
      <c r="BK827" s="20"/>
      <c r="BL827" s="20"/>
      <c r="BM827" s="7"/>
      <c r="BN827" s="7"/>
    </row>
    <row r="828">
      <c r="AE828" s="14"/>
      <c r="AZ828" s="21"/>
      <c r="BA828" s="21"/>
      <c r="BB828" s="21"/>
      <c r="BC828" s="21"/>
      <c r="BD828" s="21"/>
      <c r="BE828" s="21"/>
      <c r="BF828" s="21"/>
      <c r="BG828" s="21"/>
      <c r="BI828" s="20"/>
      <c r="BJ828" s="20"/>
      <c r="BK828" s="20"/>
      <c r="BL828" s="20"/>
      <c r="BM828" s="7"/>
      <c r="BN828" s="7"/>
    </row>
    <row r="829">
      <c r="AE829" s="14"/>
      <c r="AZ829" s="21"/>
      <c r="BA829" s="21"/>
      <c r="BB829" s="21"/>
      <c r="BC829" s="21"/>
      <c r="BD829" s="21"/>
      <c r="BE829" s="21"/>
      <c r="BF829" s="21"/>
      <c r="BG829" s="21"/>
      <c r="BI829" s="20"/>
      <c r="BJ829" s="20"/>
      <c r="BK829" s="20"/>
      <c r="BL829" s="20"/>
      <c r="BM829" s="7"/>
      <c r="BN829" s="7"/>
    </row>
    <row r="830">
      <c r="AE830" s="14"/>
      <c r="AZ830" s="21"/>
      <c r="BA830" s="21"/>
      <c r="BB830" s="21"/>
      <c r="BC830" s="21"/>
      <c r="BD830" s="21"/>
      <c r="BE830" s="21"/>
      <c r="BF830" s="21"/>
      <c r="BG830" s="21"/>
      <c r="BI830" s="20"/>
      <c r="BJ830" s="20"/>
      <c r="BK830" s="20"/>
      <c r="BL830" s="20"/>
      <c r="BM830" s="7"/>
      <c r="BN830" s="7"/>
    </row>
    <row r="831">
      <c r="AE831" s="14"/>
      <c r="AZ831" s="21"/>
      <c r="BA831" s="21"/>
      <c r="BB831" s="21"/>
      <c r="BC831" s="21"/>
      <c r="BD831" s="21"/>
      <c r="BE831" s="21"/>
      <c r="BF831" s="21"/>
      <c r="BG831" s="21"/>
      <c r="BI831" s="20"/>
      <c r="BJ831" s="20"/>
      <c r="BK831" s="20"/>
      <c r="BL831" s="20"/>
      <c r="BM831" s="7"/>
      <c r="BN831" s="7"/>
    </row>
    <row r="832">
      <c r="AE832" s="14"/>
      <c r="AZ832" s="21"/>
      <c r="BA832" s="21"/>
      <c r="BB832" s="21"/>
      <c r="BC832" s="21"/>
      <c r="BD832" s="21"/>
      <c r="BE832" s="21"/>
      <c r="BF832" s="21"/>
      <c r="BG832" s="21"/>
      <c r="BI832" s="20"/>
      <c r="BJ832" s="20"/>
      <c r="BK832" s="20"/>
      <c r="BL832" s="20"/>
      <c r="BM832" s="7"/>
      <c r="BN832" s="7"/>
    </row>
    <row r="833">
      <c r="AE833" s="14"/>
      <c r="AZ833" s="21"/>
      <c r="BA833" s="21"/>
      <c r="BB833" s="21"/>
      <c r="BC833" s="21"/>
      <c r="BD833" s="21"/>
      <c r="BE833" s="21"/>
      <c r="BF833" s="21"/>
      <c r="BG833" s="21"/>
      <c r="BI833" s="20"/>
      <c r="BJ833" s="20"/>
      <c r="BK833" s="20"/>
      <c r="BL833" s="20"/>
      <c r="BM833" s="7"/>
      <c r="BN833" s="7"/>
    </row>
    <row r="834">
      <c r="AE834" s="14"/>
      <c r="AZ834" s="21"/>
      <c r="BA834" s="21"/>
      <c r="BB834" s="21"/>
      <c r="BC834" s="21"/>
      <c r="BD834" s="21"/>
      <c r="BE834" s="21"/>
      <c r="BF834" s="21"/>
      <c r="BG834" s="21"/>
      <c r="BI834" s="20"/>
      <c r="BJ834" s="20"/>
      <c r="BK834" s="20"/>
      <c r="BL834" s="20"/>
      <c r="BM834" s="7"/>
      <c r="BN834" s="7"/>
    </row>
    <row r="835">
      <c r="AE835" s="14"/>
      <c r="AZ835" s="21"/>
      <c r="BA835" s="21"/>
      <c r="BB835" s="21"/>
      <c r="BC835" s="21"/>
      <c r="BD835" s="21"/>
      <c r="BE835" s="21"/>
      <c r="BF835" s="21"/>
      <c r="BG835" s="21"/>
      <c r="BI835" s="20"/>
      <c r="BJ835" s="20"/>
      <c r="BK835" s="20"/>
      <c r="BL835" s="20"/>
      <c r="BM835" s="7"/>
      <c r="BN835" s="7"/>
    </row>
    <row r="836">
      <c r="AE836" s="14"/>
      <c r="AZ836" s="21"/>
      <c r="BA836" s="21"/>
      <c r="BB836" s="21"/>
      <c r="BC836" s="21"/>
      <c r="BD836" s="21"/>
      <c r="BE836" s="21"/>
      <c r="BF836" s="21"/>
      <c r="BG836" s="21"/>
      <c r="BI836" s="20"/>
      <c r="BJ836" s="20"/>
      <c r="BK836" s="20"/>
      <c r="BL836" s="20"/>
      <c r="BM836" s="7"/>
      <c r="BN836" s="7"/>
    </row>
    <row r="837">
      <c r="AE837" s="14"/>
      <c r="AZ837" s="21"/>
      <c r="BA837" s="21"/>
      <c r="BB837" s="21"/>
      <c r="BC837" s="21"/>
      <c r="BD837" s="21"/>
      <c r="BE837" s="21"/>
      <c r="BF837" s="21"/>
      <c r="BG837" s="21"/>
      <c r="BI837" s="20"/>
      <c r="BJ837" s="20"/>
      <c r="BK837" s="20"/>
      <c r="BL837" s="20"/>
      <c r="BM837" s="7"/>
      <c r="BN837" s="7"/>
    </row>
    <row r="838">
      <c r="AE838" s="14"/>
      <c r="AZ838" s="21"/>
      <c r="BA838" s="21"/>
      <c r="BB838" s="21"/>
      <c r="BC838" s="21"/>
      <c r="BD838" s="21"/>
      <c r="BE838" s="21"/>
      <c r="BF838" s="21"/>
      <c r="BG838" s="21"/>
      <c r="BI838" s="20"/>
      <c r="BJ838" s="20"/>
      <c r="BK838" s="20"/>
      <c r="BL838" s="20"/>
      <c r="BM838" s="7"/>
      <c r="BN838" s="7"/>
    </row>
    <row r="839">
      <c r="AE839" s="14"/>
      <c r="AZ839" s="21"/>
      <c r="BA839" s="21"/>
      <c r="BB839" s="21"/>
      <c r="BC839" s="21"/>
      <c r="BD839" s="21"/>
      <c r="BE839" s="21"/>
      <c r="BF839" s="21"/>
      <c r="BG839" s="21"/>
      <c r="BI839" s="20"/>
      <c r="BJ839" s="20"/>
      <c r="BK839" s="20"/>
      <c r="BL839" s="20"/>
      <c r="BM839" s="7"/>
      <c r="BN839" s="7"/>
    </row>
    <row r="840">
      <c r="AE840" s="14"/>
      <c r="AZ840" s="21"/>
      <c r="BA840" s="21"/>
      <c r="BB840" s="21"/>
      <c r="BC840" s="21"/>
      <c r="BD840" s="21"/>
      <c r="BE840" s="21"/>
      <c r="BF840" s="21"/>
      <c r="BG840" s="21"/>
      <c r="BI840" s="20"/>
      <c r="BJ840" s="20"/>
      <c r="BK840" s="20"/>
      <c r="BL840" s="20"/>
      <c r="BM840" s="7"/>
      <c r="BN840" s="7"/>
    </row>
    <row r="841">
      <c r="AE841" s="14"/>
      <c r="AZ841" s="21"/>
      <c r="BA841" s="21"/>
      <c r="BB841" s="21"/>
      <c r="BC841" s="21"/>
      <c r="BD841" s="21"/>
      <c r="BE841" s="21"/>
      <c r="BF841" s="21"/>
      <c r="BG841" s="21"/>
      <c r="BI841" s="20"/>
      <c r="BJ841" s="20"/>
      <c r="BK841" s="20"/>
      <c r="BL841" s="20"/>
      <c r="BM841" s="7"/>
      <c r="BN841" s="7"/>
    </row>
    <row r="842">
      <c r="AE842" s="14"/>
      <c r="AZ842" s="21"/>
      <c r="BA842" s="21"/>
      <c r="BB842" s="21"/>
      <c r="BC842" s="21"/>
      <c r="BD842" s="21"/>
      <c r="BE842" s="21"/>
      <c r="BF842" s="21"/>
      <c r="BG842" s="21"/>
      <c r="BI842" s="20"/>
      <c r="BJ842" s="20"/>
      <c r="BK842" s="20"/>
      <c r="BL842" s="20"/>
      <c r="BM842" s="7"/>
      <c r="BN842" s="7"/>
    </row>
    <row r="843">
      <c r="AE843" s="14"/>
      <c r="AZ843" s="21"/>
      <c r="BA843" s="21"/>
      <c r="BB843" s="21"/>
      <c r="BC843" s="21"/>
      <c r="BD843" s="21"/>
      <c r="BE843" s="21"/>
      <c r="BF843" s="21"/>
      <c r="BG843" s="21"/>
      <c r="BI843" s="20"/>
      <c r="BJ843" s="20"/>
      <c r="BK843" s="20"/>
      <c r="BL843" s="20"/>
      <c r="BM843" s="7"/>
      <c r="BN843" s="7"/>
    </row>
    <row r="844">
      <c r="AE844" s="14"/>
      <c r="AZ844" s="21"/>
      <c r="BA844" s="21"/>
      <c r="BB844" s="21"/>
      <c r="BC844" s="21"/>
      <c r="BD844" s="21"/>
      <c r="BE844" s="21"/>
      <c r="BF844" s="21"/>
      <c r="BG844" s="21"/>
      <c r="BI844" s="20"/>
      <c r="BJ844" s="20"/>
      <c r="BK844" s="20"/>
      <c r="BL844" s="20"/>
      <c r="BM844" s="7"/>
      <c r="BN844" s="7"/>
    </row>
    <row r="845">
      <c r="AE845" s="14"/>
      <c r="AZ845" s="21"/>
      <c r="BA845" s="21"/>
      <c r="BB845" s="21"/>
      <c r="BC845" s="21"/>
      <c r="BD845" s="21"/>
      <c r="BE845" s="21"/>
      <c r="BF845" s="21"/>
      <c r="BG845" s="21"/>
      <c r="BI845" s="20"/>
      <c r="BJ845" s="20"/>
      <c r="BK845" s="20"/>
      <c r="BL845" s="20"/>
      <c r="BM845" s="7"/>
      <c r="BN845" s="7"/>
    </row>
    <row r="846">
      <c r="AE846" s="14"/>
      <c r="AZ846" s="21"/>
      <c r="BA846" s="21"/>
      <c r="BB846" s="21"/>
      <c r="BC846" s="21"/>
      <c r="BD846" s="21"/>
      <c r="BE846" s="21"/>
      <c r="BF846" s="21"/>
      <c r="BG846" s="21"/>
      <c r="BI846" s="20"/>
      <c r="BJ846" s="20"/>
      <c r="BK846" s="20"/>
      <c r="BL846" s="20"/>
      <c r="BM846" s="7"/>
      <c r="BN846" s="7"/>
    </row>
    <row r="847">
      <c r="AE847" s="14"/>
      <c r="AZ847" s="21"/>
      <c r="BA847" s="21"/>
      <c r="BB847" s="21"/>
      <c r="BC847" s="21"/>
      <c r="BD847" s="21"/>
      <c r="BE847" s="21"/>
      <c r="BF847" s="21"/>
      <c r="BG847" s="21"/>
      <c r="BI847" s="20"/>
      <c r="BJ847" s="20"/>
      <c r="BK847" s="20"/>
      <c r="BL847" s="20"/>
      <c r="BM847" s="7"/>
      <c r="BN847" s="7"/>
    </row>
    <row r="848">
      <c r="AE848" s="14"/>
      <c r="AZ848" s="21"/>
      <c r="BA848" s="21"/>
      <c r="BB848" s="21"/>
      <c r="BC848" s="21"/>
      <c r="BD848" s="21"/>
      <c r="BE848" s="21"/>
      <c r="BF848" s="21"/>
      <c r="BG848" s="21"/>
      <c r="BI848" s="20"/>
      <c r="BJ848" s="20"/>
      <c r="BK848" s="20"/>
      <c r="BL848" s="20"/>
      <c r="BM848" s="7"/>
      <c r="BN848" s="7"/>
    </row>
    <row r="849">
      <c r="AE849" s="14"/>
      <c r="AZ849" s="21"/>
      <c r="BA849" s="21"/>
      <c r="BB849" s="21"/>
      <c r="BC849" s="21"/>
      <c r="BD849" s="21"/>
      <c r="BE849" s="21"/>
      <c r="BF849" s="21"/>
      <c r="BG849" s="21"/>
      <c r="BI849" s="20"/>
      <c r="BJ849" s="20"/>
      <c r="BK849" s="20"/>
      <c r="BL849" s="20"/>
      <c r="BM849" s="7"/>
      <c r="BN849" s="7"/>
    </row>
    <row r="850">
      <c r="AE850" s="14"/>
      <c r="AZ850" s="21"/>
      <c r="BA850" s="21"/>
      <c r="BB850" s="21"/>
      <c r="BC850" s="21"/>
      <c r="BD850" s="21"/>
      <c r="BE850" s="21"/>
      <c r="BF850" s="21"/>
      <c r="BG850" s="21"/>
      <c r="BI850" s="20"/>
      <c r="BJ850" s="20"/>
      <c r="BK850" s="20"/>
      <c r="BL850" s="20"/>
      <c r="BM850" s="7"/>
      <c r="BN850" s="7"/>
    </row>
    <row r="851">
      <c r="AE851" s="14"/>
      <c r="AZ851" s="21"/>
      <c r="BA851" s="21"/>
      <c r="BB851" s="21"/>
      <c r="BC851" s="21"/>
      <c r="BD851" s="21"/>
      <c r="BE851" s="21"/>
      <c r="BF851" s="21"/>
      <c r="BG851" s="21"/>
      <c r="BI851" s="20"/>
      <c r="BJ851" s="20"/>
      <c r="BK851" s="20"/>
      <c r="BL851" s="20"/>
      <c r="BM851" s="7"/>
      <c r="BN851" s="7"/>
    </row>
    <row r="852">
      <c r="AE852" s="14"/>
      <c r="AZ852" s="21"/>
      <c r="BA852" s="21"/>
      <c r="BB852" s="21"/>
      <c r="BC852" s="21"/>
      <c r="BD852" s="21"/>
      <c r="BE852" s="21"/>
      <c r="BF852" s="21"/>
      <c r="BG852" s="21"/>
      <c r="BI852" s="20"/>
      <c r="BJ852" s="20"/>
      <c r="BK852" s="20"/>
      <c r="BL852" s="20"/>
      <c r="BM852" s="7"/>
      <c r="BN852" s="7"/>
    </row>
    <row r="853">
      <c r="AE853" s="14"/>
      <c r="AZ853" s="21"/>
      <c r="BA853" s="21"/>
      <c r="BB853" s="21"/>
      <c r="BC853" s="21"/>
      <c r="BD853" s="21"/>
      <c r="BE853" s="21"/>
      <c r="BF853" s="21"/>
      <c r="BG853" s="21"/>
      <c r="BI853" s="20"/>
      <c r="BJ853" s="20"/>
      <c r="BK853" s="20"/>
      <c r="BL853" s="20"/>
      <c r="BM853" s="7"/>
      <c r="BN853" s="7"/>
    </row>
    <row r="854">
      <c r="AE854" s="14"/>
      <c r="AZ854" s="21"/>
      <c r="BA854" s="21"/>
      <c r="BB854" s="21"/>
      <c r="BC854" s="21"/>
      <c r="BD854" s="21"/>
      <c r="BE854" s="21"/>
      <c r="BF854" s="21"/>
      <c r="BG854" s="21"/>
      <c r="BI854" s="20"/>
      <c r="BJ854" s="20"/>
      <c r="BK854" s="20"/>
      <c r="BL854" s="20"/>
      <c r="BM854" s="7"/>
      <c r="BN854" s="7"/>
    </row>
    <row r="855">
      <c r="AE855" s="14"/>
      <c r="AZ855" s="21"/>
      <c r="BA855" s="21"/>
      <c r="BB855" s="21"/>
      <c r="BC855" s="21"/>
      <c r="BD855" s="21"/>
      <c r="BE855" s="21"/>
      <c r="BF855" s="21"/>
      <c r="BG855" s="21"/>
      <c r="BI855" s="20"/>
      <c r="BJ855" s="20"/>
      <c r="BK855" s="20"/>
      <c r="BL855" s="20"/>
      <c r="BM855" s="7"/>
      <c r="BN855" s="7"/>
    </row>
    <row r="856">
      <c r="AE856" s="14"/>
      <c r="AZ856" s="21"/>
      <c r="BA856" s="21"/>
      <c r="BB856" s="21"/>
      <c r="BC856" s="21"/>
      <c r="BD856" s="21"/>
      <c r="BE856" s="21"/>
      <c r="BF856" s="21"/>
      <c r="BG856" s="21"/>
      <c r="BI856" s="20"/>
      <c r="BJ856" s="20"/>
      <c r="BK856" s="20"/>
      <c r="BL856" s="20"/>
      <c r="BM856" s="7"/>
      <c r="BN856" s="7"/>
    </row>
    <row r="857">
      <c r="AE857" s="14"/>
      <c r="AZ857" s="21"/>
      <c r="BA857" s="21"/>
      <c r="BB857" s="21"/>
      <c r="BC857" s="21"/>
      <c r="BD857" s="21"/>
      <c r="BE857" s="21"/>
      <c r="BF857" s="21"/>
      <c r="BG857" s="21"/>
      <c r="BI857" s="20"/>
      <c r="BJ857" s="20"/>
      <c r="BK857" s="20"/>
      <c r="BL857" s="20"/>
      <c r="BM857" s="7"/>
      <c r="BN857" s="7"/>
    </row>
    <row r="858">
      <c r="AE858" s="14"/>
      <c r="AZ858" s="21"/>
      <c r="BA858" s="21"/>
      <c r="BB858" s="21"/>
      <c r="BC858" s="21"/>
      <c r="BD858" s="21"/>
      <c r="BE858" s="21"/>
      <c r="BF858" s="21"/>
      <c r="BG858" s="21"/>
      <c r="BI858" s="20"/>
      <c r="BJ858" s="20"/>
      <c r="BK858" s="20"/>
      <c r="BL858" s="20"/>
      <c r="BM858" s="7"/>
      <c r="BN858" s="7"/>
    </row>
    <row r="859">
      <c r="AE859" s="14"/>
      <c r="AZ859" s="21"/>
      <c r="BA859" s="21"/>
      <c r="BB859" s="21"/>
      <c r="BC859" s="21"/>
      <c r="BD859" s="21"/>
      <c r="BE859" s="21"/>
      <c r="BF859" s="21"/>
      <c r="BG859" s="21"/>
      <c r="BI859" s="20"/>
      <c r="BJ859" s="20"/>
      <c r="BK859" s="20"/>
      <c r="BL859" s="20"/>
      <c r="BM859" s="7"/>
      <c r="BN859" s="7"/>
    </row>
    <row r="860">
      <c r="AE860" s="14"/>
      <c r="AZ860" s="21"/>
      <c r="BA860" s="21"/>
      <c r="BB860" s="21"/>
      <c r="BC860" s="21"/>
      <c r="BD860" s="21"/>
      <c r="BE860" s="21"/>
      <c r="BF860" s="21"/>
      <c r="BG860" s="21"/>
      <c r="BI860" s="20"/>
      <c r="BJ860" s="20"/>
      <c r="BK860" s="20"/>
      <c r="BL860" s="20"/>
      <c r="BM860" s="7"/>
      <c r="BN860" s="7"/>
    </row>
    <row r="861">
      <c r="AE861" s="14"/>
      <c r="AZ861" s="21"/>
      <c r="BA861" s="21"/>
      <c r="BB861" s="21"/>
      <c r="BC861" s="21"/>
      <c r="BD861" s="21"/>
      <c r="BE861" s="21"/>
      <c r="BF861" s="21"/>
      <c r="BG861" s="21"/>
      <c r="BI861" s="20"/>
      <c r="BJ861" s="20"/>
      <c r="BK861" s="20"/>
      <c r="BL861" s="20"/>
      <c r="BM861" s="7"/>
      <c r="BN861" s="7"/>
    </row>
    <row r="862">
      <c r="AE862" s="14"/>
      <c r="AZ862" s="21"/>
      <c r="BA862" s="21"/>
      <c r="BB862" s="21"/>
      <c r="BC862" s="21"/>
      <c r="BD862" s="21"/>
      <c r="BE862" s="21"/>
      <c r="BF862" s="21"/>
      <c r="BG862" s="21"/>
      <c r="BI862" s="20"/>
      <c r="BJ862" s="20"/>
      <c r="BK862" s="20"/>
      <c r="BL862" s="20"/>
      <c r="BM862" s="7"/>
      <c r="BN862" s="7"/>
    </row>
    <row r="863">
      <c r="AE863" s="14"/>
      <c r="AZ863" s="21"/>
      <c r="BA863" s="21"/>
      <c r="BB863" s="21"/>
      <c r="BC863" s="21"/>
      <c r="BD863" s="21"/>
      <c r="BE863" s="21"/>
      <c r="BF863" s="21"/>
      <c r="BG863" s="21"/>
      <c r="BI863" s="20"/>
      <c r="BJ863" s="20"/>
      <c r="BK863" s="20"/>
      <c r="BL863" s="20"/>
      <c r="BM863" s="7"/>
      <c r="BN863" s="7"/>
    </row>
    <row r="864">
      <c r="AE864" s="14"/>
      <c r="AZ864" s="21"/>
      <c r="BA864" s="21"/>
      <c r="BB864" s="21"/>
      <c r="BC864" s="21"/>
      <c r="BD864" s="21"/>
      <c r="BE864" s="21"/>
      <c r="BF864" s="21"/>
      <c r="BG864" s="21"/>
      <c r="BI864" s="20"/>
      <c r="BJ864" s="20"/>
      <c r="BK864" s="20"/>
      <c r="BL864" s="20"/>
      <c r="BM864" s="7"/>
      <c r="BN864" s="7"/>
    </row>
    <row r="865">
      <c r="AE865" s="14"/>
      <c r="AZ865" s="21"/>
      <c r="BA865" s="21"/>
      <c r="BB865" s="21"/>
      <c r="BC865" s="21"/>
      <c r="BD865" s="21"/>
      <c r="BE865" s="21"/>
      <c r="BF865" s="21"/>
      <c r="BG865" s="21"/>
      <c r="BI865" s="20"/>
      <c r="BJ865" s="20"/>
      <c r="BK865" s="20"/>
      <c r="BL865" s="20"/>
      <c r="BM865" s="7"/>
      <c r="BN865" s="7"/>
    </row>
    <row r="866">
      <c r="AE866" s="14"/>
      <c r="AZ866" s="21"/>
      <c r="BA866" s="21"/>
      <c r="BB866" s="21"/>
      <c r="BC866" s="21"/>
      <c r="BD866" s="21"/>
      <c r="BE866" s="21"/>
      <c r="BF866" s="21"/>
      <c r="BG866" s="21"/>
      <c r="BI866" s="20"/>
      <c r="BJ866" s="20"/>
      <c r="BK866" s="20"/>
      <c r="BL866" s="20"/>
      <c r="BM866" s="7"/>
      <c r="BN866" s="7"/>
    </row>
    <row r="867">
      <c r="AE867" s="14"/>
      <c r="AZ867" s="21"/>
      <c r="BA867" s="21"/>
      <c r="BB867" s="21"/>
      <c r="BC867" s="21"/>
      <c r="BD867" s="21"/>
      <c r="BE867" s="21"/>
      <c r="BF867" s="21"/>
      <c r="BG867" s="21"/>
      <c r="BI867" s="20"/>
      <c r="BJ867" s="20"/>
      <c r="BK867" s="20"/>
      <c r="BL867" s="20"/>
      <c r="BM867" s="7"/>
      <c r="BN867" s="7"/>
    </row>
    <row r="868">
      <c r="AE868" s="14"/>
      <c r="AZ868" s="21"/>
      <c r="BA868" s="21"/>
      <c r="BB868" s="21"/>
      <c r="BC868" s="21"/>
      <c r="BD868" s="21"/>
      <c r="BE868" s="21"/>
      <c r="BF868" s="21"/>
      <c r="BG868" s="21"/>
      <c r="BI868" s="20"/>
      <c r="BJ868" s="20"/>
      <c r="BK868" s="20"/>
      <c r="BL868" s="20"/>
      <c r="BM868" s="7"/>
      <c r="BN868" s="7"/>
    </row>
    <row r="869">
      <c r="AE869" s="14"/>
      <c r="AZ869" s="21"/>
      <c r="BA869" s="21"/>
      <c r="BB869" s="21"/>
      <c r="BC869" s="21"/>
      <c r="BD869" s="21"/>
      <c r="BE869" s="21"/>
      <c r="BF869" s="21"/>
      <c r="BG869" s="21"/>
      <c r="BI869" s="20"/>
      <c r="BJ869" s="20"/>
      <c r="BK869" s="20"/>
      <c r="BL869" s="20"/>
      <c r="BM869" s="7"/>
      <c r="BN869" s="7"/>
    </row>
    <row r="870">
      <c r="AE870" s="14"/>
      <c r="AZ870" s="21"/>
      <c r="BA870" s="21"/>
      <c r="BB870" s="21"/>
      <c r="BC870" s="21"/>
      <c r="BD870" s="21"/>
      <c r="BE870" s="21"/>
      <c r="BF870" s="21"/>
      <c r="BG870" s="21"/>
      <c r="BI870" s="20"/>
      <c r="BJ870" s="20"/>
      <c r="BK870" s="20"/>
      <c r="BL870" s="20"/>
      <c r="BM870" s="7"/>
      <c r="BN870" s="7"/>
    </row>
    <row r="871">
      <c r="AE871" s="14"/>
      <c r="AZ871" s="21"/>
      <c r="BA871" s="21"/>
      <c r="BB871" s="21"/>
      <c r="BC871" s="21"/>
      <c r="BD871" s="21"/>
      <c r="BE871" s="21"/>
      <c r="BF871" s="21"/>
      <c r="BG871" s="21"/>
      <c r="BI871" s="20"/>
      <c r="BJ871" s="20"/>
      <c r="BK871" s="20"/>
      <c r="BL871" s="20"/>
      <c r="BM871" s="7"/>
      <c r="BN871" s="7"/>
    </row>
    <row r="872">
      <c r="AE872" s="14"/>
      <c r="AZ872" s="21"/>
      <c r="BA872" s="21"/>
      <c r="BB872" s="21"/>
      <c r="BC872" s="21"/>
      <c r="BD872" s="21"/>
      <c r="BE872" s="21"/>
      <c r="BF872" s="21"/>
      <c r="BG872" s="21"/>
      <c r="BI872" s="20"/>
      <c r="BJ872" s="20"/>
      <c r="BK872" s="20"/>
      <c r="BL872" s="20"/>
      <c r="BM872" s="7"/>
      <c r="BN872" s="7"/>
    </row>
    <row r="873">
      <c r="AE873" s="14"/>
      <c r="AZ873" s="21"/>
      <c r="BA873" s="21"/>
      <c r="BB873" s="21"/>
      <c r="BC873" s="21"/>
      <c r="BD873" s="21"/>
      <c r="BE873" s="21"/>
      <c r="BF873" s="21"/>
      <c r="BG873" s="21"/>
      <c r="BI873" s="20"/>
      <c r="BJ873" s="20"/>
      <c r="BK873" s="20"/>
      <c r="BL873" s="20"/>
      <c r="BM873" s="7"/>
      <c r="BN873" s="7"/>
    </row>
    <row r="874">
      <c r="AE874" s="14"/>
      <c r="AZ874" s="21"/>
      <c r="BA874" s="21"/>
      <c r="BB874" s="21"/>
      <c r="BC874" s="21"/>
      <c r="BD874" s="21"/>
      <c r="BE874" s="21"/>
      <c r="BF874" s="21"/>
      <c r="BG874" s="21"/>
      <c r="BI874" s="20"/>
      <c r="BJ874" s="20"/>
      <c r="BK874" s="20"/>
      <c r="BL874" s="20"/>
      <c r="BM874" s="7"/>
      <c r="BN874" s="7"/>
    </row>
    <row r="875">
      <c r="AE875" s="14"/>
      <c r="AZ875" s="21"/>
      <c r="BA875" s="21"/>
      <c r="BB875" s="21"/>
      <c r="BC875" s="21"/>
      <c r="BD875" s="21"/>
      <c r="BE875" s="21"/>
      <c r="BF875" s="21"/>
      <c r="BG875" s="21"/>
      <c r="BI875" s="20"/>
      <c r="BJ875" s="20"/>
      <c r="BK875" s="20"/>
      <c r="BL875" s="20"/>
      <c r="BM875" s="7"/>
      <c r="BN875" s="7"/>
    </row>
    <row r="876">
      <c r="AE876" s="14"/>
      <c r="AZ876" s="21"/>
      <c r="BA876" s="21"/>
      <c r="BB876" s="21"/>
      <c r="BC876" s="21"/>
      <c r="BD876" s="21"/>
      <c r="BE876" s="21"/>
      <c r="BF876" s="21"/>
      <c r="BG876" s="21"/>
      <c r="BI876" s="20"/>
      <c r="BJ876" s="20"/>
      <c r="BK876" s="20"/>
      <c r="BL876" s="20"/>
      <c r="BM876" s="7"/>
      <c r="BN876" s="7"/>
    </row>
    <row r="877">
      <c r="AE877" s="14"/>
      <c r="AZ877" s="21"/>
      <c r="BA877" s="21"/>
      <c r="BB877" s="21"/>
      <c r="BC877" s="21"/>
      <c r="BD877" s="21"/>
      <c r="BE877" s="21"/>
      <c r="BF877" s="21"/>
      <c r="BG877" s="21"/>
      <c r="BI877" s="20"/>
      <c r="BJ877" s="20"/>
      <c r="BK877" s="20"/>
      <c r="BL877" s="20"/>
      <c r="BM877" s="7"/>
      <c r="BN877" s="7"/>
    </row>
    <row r="878">
      <c r="AE878" s="14"/>
      <c r="AZ878" s="21"/>
      <c r="BA878" s="21"/>
      <c r="BB878" s="21"/>
      <c r="BC878" s="21"/>
      <c r="BD878" s="21"/>
      <c r="BE878" s="21"/>
      <c r="BF878" s="21"/>
      <c r="BG878" s="21"/>
      <c r="BI878" s="20"/>
      <c r="BJ878" s="20"/>
      <c r="BK878" s="20"/>
      <c r="BL878" s="20"/>
      <c r="BM878" s="7"/>
      <c r="BN878" s="7"/>
    </row>
    <row r="879">
      <c r="AE879" s="14"/>
      <c r="AZ879" s="21"/>
      <c r="BA879" s="21"/>
      <c r="BB879" s="21"/>
      <c r="BC879" s="21"/>
      <c r="BD879" s="21"/>
      <c r="BE879" s="21"/>
      <c r="BF879" s="21"/>
      <c r="BG879" s="21"/>
      <c r="BI879" s="20"/>
      <c r="BJ879" s="20"/>
      <c r="BK879" s="20"/>
      <c r="BL879" s="20"/>
      <c r="BM879" s="7"/>
      <c r="BN879" s="7"/>
    </row>
    <row r="880">
      <c r="AE880" s="14"/>
      <c r="AZ880" s="21"/>
      <c r="BA880" s="21"/>
      <c r="BB880" s="21"/>
      <c r="BC880" s="21"/>
      <c r="BD880" s="21"/>
      <c r="BE880" s="21"/>
      <c r="BF880" s="21"/>
      <c r="BG880" s="21"/>
      <c r="BI880" s="20"/>
      <c r="BJ880" s="20"/>
      <c r="BK880" s="20"/>
      <c r="BL880" s="20"/>
      <c r="BM880" s="7"/>
      <c r="BN880" s="7"/>
    </row>
    <row r="881">
      <c r="AE881" s="14"/>
      <c r="AZ881" s="21"/>
      <c r="BA881" s="21"/>
      <c r="BB881" s="21"/>
      <c r="BC881" s="21"/>
      <c r="BD881" s="21"/>
      <c r="BE881" s="21"/>
      <c r="BF881" s="21"/>
      <c r="BG881" s="21"/>
      <c r="BI881" s="20"/>
      <c r="BJ881" s="20"/>
      <c r="BK881" s="20"/>
      <c r="BL881" s="20"/>
      <c r="BM881" s="7"/>
      <c r="BN881" s="7"/>
    </row>
    <row r="882">
      <c r="AE882" s="14"/>
      <c r="AZ882" s="21"/>
      <c r="BA882" s="21"/>
      <c r="BB882" s="21"/>
      <c r="BC882" s="21"/>
      <c r="BD882" s="21"/>
      <c r="BE882" s="21"/>
      <c r="BF882" s="21"/>
      <c r="BG882" s="21"/>
      <c r="BI882" s="20"/>
      <c r="BJ882" s="20"/>
      <c r="BK882" s="20"/>
      <c r="BL882" s="20"/>
      <c r="BM882" s="7"/>
      <c r="BN882" s="7"/>
    </row>
    <row r="883">
      <c r="AE883" s="14"/>
      <c r="AZ883" s="21"/>
      <c r="BA883" s="21"/>
      <c r="BB883" s="21"/>
      <c r="BC883" s="21"/>
      <c r="BD883" s="21"/>
      <c r="BE883" s="21"/>
      <c r="BF883" s="21"/>
      <c r="BG883" s="21"/>
      <c r="BI883" s="20"/>
      <c r="BJ883" s="20"/>
      <c r="BK883" s="20"/>
      <c r="BL883" s="20"/>
      <c r="BM883" s="7"/>
      <c r="BN883" s="7"/>
    </row>
    <row r="884">
      <c r="AE884" s="14"/>
      <c r="AZ884" s="21"/>
      <c r="BA884" s="21"/>
      <c r="BB884" s="21"/>
      <c r="BC884" s="21"/>
      <c r="BD884" s="21"/>
      <c r="BE884" s="21"/>
      <c r="BF884" s="21"/>
      <c r="BG884" s="21"/>
      <c r="BI884" s="20"/>
      <c r="BJ884" s="20"/>
      <c r="BK884" s="20"/>
      <c r="BL884" s="20"/>
      <c r="BM884" s="7"/>
      <c r="BN884" s="7"/>
    </row>
    <row r="885">
      <c r="AE885" s="14"/>
      <c r="AZ885" s="21"/>
      <c r="BA885" s="21"/>
      <c r="BB885" s="21"/>
      <c r="BC885" s="21"/>
      <c r="BD885" s="21"/>
      <c r="BE885" s="21"/>
      <c r="BF885" s="21"/>
      <c r="BG885" s="21"/>
      <c r="BI885" s="20"/>
      <c r="BJ885" s="20"/>
      <c r="BK885" s="20"/>
      <c r="BL885" s="20"/>
      <c r="BM885" s="7"/>
      <c r="BN885" s="7"/>
    </row>
    <row r="886">
      <c r="AE886" s="14"/>
      <c r="AZ886" s="21"/>
      <c r="BA886" s="21"/>
      <c r="BB886" s="21"/>
      <c r="BC886" s="21"/>
      <c r="BD886" s="21"/>
      <c r="BE886" s="21"/>
      <c r="BF886" s="21"/>
      <c r="BG886" s="21"/>
      <c r="BI886" s="20"/>
      <c r="BJ886" s="20"/>
      <c r="BK886" s="20"/>
      <c r="BL886" s="20"/>
      <c r="BM886" s="7"/>
      <c r="BN886" s="7"/>
    </row>
    <row r="887">
      <c r="AE887" s="14"/>
      <c r="AZ887" s="21"/>
      <c r="BA887" s="21"/>
      <c r="BB887" s="21"/>
      <c r="BC887" s="21"/>
      <c r="BD887" s="21"/>
      <c r="BE887" s="21"/>
      <c r="BF887" s="21"/>
      <c r="BG887" s="21"/>
      <c r="BI887" s="20"/>
      <c r="BJ887" s="20"/>
      <c r="BK887" s="20"/>
      <c r="BL887" s="20"/>
      <c r="BM887" s="7"/>
      <c r="BN887" s="7"/>
    </row>
    <row r="888">
      <c r="AE888" s="14"/>
      <c r="AZ888" s="21"/>
      <c r="BA888" s="21"/>
      <c r="BB888" s="21"/>
      <c r="BC888" s="21"/>
      <c r="BD888" s="21"/>
      <c r="BE888" s="21"/>
      <c r="BF888" s="21"/>
      <c r="BG888" s="21"/>
      <c r="BI888" s="20"/>
      <c r="BJ888" s="20"/>
      <c r="BK888" s="20"/>
      <c r="BL888" s="20"/>
      <c r="BM888" s="7"/>
      <c r="BN888" s="7"/>
    </row>
    <row r="889">
      <c r="AE889" s="14"/>
      <c r="AZ889" s="21"/>
      <c r="BA889" s="21"/>
      <c r="BB889" s="21"/>
      <c r="BC889" s="21"/>
      <c r="BD889" s="21"/>
      <c r="BE889" s="21"/>
      <c r="BF889" s="21"/>
      <c r="BG889" s="21"/>
      <c r="BI889" s="20"/>
      <c r="BJ889" s="20"/>
      <c r="BK889" s="20"/>
      <c r="BL889" s="20"/>
      <c r="BM889" s="7"/>
      <c r="BN889" s="7"/>
    </row>
    <row r="890">
      <c r="AE890" s="14"/>
      <c r="AZ890" s="21"/>
      <c r="BA890" s="21"/>
      <c r="BB890" s="21"/>
      <c r="BC890" s="21"/>
      <c r="BD890" s="21"/>
      <c r="BE890" s="21"/>
      <c r="BF890" s="21"/>
      <c r="BG890" s="21"/>
      <c r="BI890" s="20"/>
      <c r="BJ890" s="20"/>
      <c r="BK890" s="20"/>
      <c r="BL890" s="20"/>
      <c r="BM890" s="7"/>
      <c r="BN890" s="7"/>
    </row>
    <row r="891">
      <c r="AE891" s="14"/>
      <c r="AZ891" s="21"/>
      <c r="BA891" s="21"/>
      <c r="BB891" s="21"/>
      <c r="BC891" s="21"/>
      <c r="BD891" s="21"/>
      <c r="BE891" s="21"/>
      <c r="BF891" s="21"/>
      <c r="BG891" s="21"/>
      <c r="BI891" s="20"/>
      <c r="BJ891" s="20"/>
      <c r="BK891" s="20"/>
      <c r="BL891" s="20"/>
      <c r="BM891" s="7"/>
      <c r="BN891" s="7"/>
    </row>
    <row r="892">
      <c r="AE892" s="14"/>
      <c r="AZ892" s="21"/>
      <c r="BA892" s="21"/>
      <c r="BB892" s="21"/>
      <c r="BC892" s="21"/>
      <c r="BD892" s="21"/>
      <c r="BE892" s="21"/>
      <c r="BF892" s="21"/>
      <c r="BG892" s="21"/>
      <c r="BI892" s="20"/>
      <c r="BJ892" s="20"/>
      <c r="BK892" s="20"/>
      <c r="BL892" s="20"/>
      <c r="BM892" s="7"/>
      <c r="BN892" s="7"/>
    </row>
    <row r="893">
      <c r="AE893" s="14"/>
      <c r="AZ893" s="21"/>
      <c r="BA893" s="21"/>
      <c r="BB893" s="21"/>
      <c r="BC893" s="21"/>
      <c r="BD893" s="21"/>
      <c r="BE893" s="21"/>
      <c r="BF893" s="21"/>
      <c r="BG893" s="21"/>
      <c r="BI893" s="20"/>
      <c r="BJ893" s="20"/>
      <c r="BK893" s="20"/>
      <c r="BL893" s="20"/>
      <c r="BM893" s="7"/>
      <c r="BN893" s="7"/>
    </row>
    <row r="894">
      <c r="AE894" s="14"/>
      <c r="AZ894" s="21"/>
      <c r="BA894" s="21"/>
      <c r="BB894" s="21"/>
      <c r="BC894" s="21"/>
      <c r="BD894" s="21"/>
      <c r="BE894" s="21"/>
      <c r="BF894" s="21"/>
      <c r="BG894" s="21"/>
      <c r="BI894" s="20"/>
      <c r="BJ894" s="20"/>
      <c r="BK894" s="20"/>
      <c r="BL894" s="20"/>
      <c r="BM894" s="7"/>
      <c r="BN894" s="7"/>
    </row>
    <row r="895">
      <c r="AE895" s="14"/>
      <c r="AZ895" s="21"/>
      <c r="BA895" s="21"/>
      <c r="BB895" s="21"/>
      <c r="BC895" s="21"/>
      <c r="BD895" s="21"/>
      <c r="BE895" s="21"/>
      <c r="BF895" s="21"/>
      <c r="BG895" s="21"/>
      <c r="BI895" s="20"/>
      <c r="BJ895" s="20"/>
      <c r="BK895" s="20"/>
      <c r="BL895" s="20"/>
      <c r="BM895" s="7"/>
      <c r="BN895" s="7"/>
    </row>
    <row r="896">
      <c r="AE896" s="14"/>
      <c r="AZ896" s="21"/>
      <c r="BA896" s="21"/>
      <c r="BB896" s="21"/>
      <c r="BC896" s="21"/>
      <c r="BD896" s="21"/>
      <c r="BE896" s="21"/>
      <c r="BF896" s="21"/>
      <c r="BG896" s="21"/>
      <c r="BI896" s="20"/>
      <c r="BJ896" s="20"/>
      <c r="BK896" s="20"/>
      <c r="BL896" s="20"/>
      <c r="BM896" s="7"/>
      <c r="BN896" s="7"/>
    </row>
    <row r="897">
      <c r="AE897" s="14"/>
      <c r="AZ897" s="21"/>
      <c r="BA897" s="21"/>
      <c r="BB897" s="21"/>
      <c r="BC897" s="21"/>
      <c r="BD897" s="21"/>
      <c r="BE897" s="21"/>
      <c r="BF897" s="21"/>
      <c r="BG897" s="21"/>
      <c r="BI897" s="20"/>
      <c r="BJ897" s="20"/>
      <c r="BK897" s="20"/>
      <c r="BL897" s="20"/>
      <c r="BM897" s="7"/>
      <c r="BN897" s="7"/>
    </row>
    <row r="898">
      <c r="AE898" s="14"/>
      <c r="AZ898" s="21"/>
      <c r="BA898" s="21"/>
      <c r="BB898" s="21"/>
      <c r="BC898" s="21"/>
      <c r="BD898" s="21"/>
      <c r="BE898" s="21"/>
      <c r="BF898" s="21"/>
      <c r="BG898" s="21"/>
      <c r="BI898" s="20"/>
      <c r="BJ898" s="20"/>
      <c r="BK898" s="20"/>
      <c r="BL898" s="20"/>
      <c r="BM898" s="7"/>
      <c r="BN898" s="7"/>
    </row>
    <row r="899">
      <c r="AE899" s="14"/>
      <c r="AZ899" s="21"/>
      <c r="BA899" s="21"/>
      <c r="BB899" s="21"/>
      <c r="BC899" s="21"/>
      <c r="BD899" s="21"/>
      <c r="BE899" s="21"/>
      <c r="BF899" s="21"/>
      <c r="BG899" s="21"/>
      <c r="BI899" s="20"/>
      <c r="BJ899" s="20"/>
      <c r="BK899" s="20"/>
      <c r="BL899" s="20"/>
      <c r="BM899" s="7"/>
      <c r="BN899" s="7"/>
    </row>
    <row r="900">
      <c r="AE900" s="14"/>
      <c r="AZ900" s="21"/>
      <c r="BA900" s="21"/>
      <c r="BB900" s="21"/>
      <c r="BC900" s="21"/>
      <c r="BD900" s="21"/>
      <c r="BE900" s="21"/>
      <c r="BF900" s="21"/>
      <c r="BG900" s="21"/>
      <c r="BI900" s="20"/>
      <c r="BJ900" s="20"/>
      <c r="BK900" s="20"/>
      <c r="BL900" s="20"/>
      <c r="BM900" s="7"/>
      <c r="BN900" s="7"/>
    </row>
    <row r="901">
      <c r="AE901" s="14"/>
      <c r="AZ901" s="21"/>
      <c r="BA901" s="21"/>
      <c r="BB901" s="21"/>
      <c r="BC901" s="21"/>
      <c r="BD901" s="21"/>
      <c r="BE901" s="21"/>
      <c r="BF901" s="21"/>
      <c r="BG901" s="21"/>
      <c r="BI901" s="20"/>
      <c r="BJ901" s="20"/>
      <c r="BK901" s="20"/>
      <c r="BL901" s="20"/>
      <c r="BM901" s="7"/>
      <c r="BN901" s="7"/>
    </row>
    <row r="902">
      <c r="AE902" s="14"/>
      <c r="AZ902" s="21"/>
      <c r="BA902" s="21"/>
      <c r="BB902" s="21"/>
      <c r="BC902" s="21"/>
      <c r="BD902" s="21"/>
      <c r="BE902" s="21"/>
      <c r="BF902" s="21"/>
      <c r="BG902" s="21"/>
      <c r="BI902" s="20"/>
      <c r="BJ902" s="20"/>
      <c r="BK902" s="20"/>
      <c r="BL902" s="20"/>
      <c r="BM902" s="7"/>
      <c r="BN902" s="7"/>
    </row>
    <row r="903">
      <c r="AE903" s="14"/>
      <c r="AZ903" s="21"/>
      <c r="BA903" s="21"/>
      <c r="BB903" s="21"/>
      <c r="BC903" s="21"/>
      <c r="BD903" s="21"/>
      <c r="BE903" s="21"/>
      <c r="BF903" s="21"/>
      <c r="BG903" s="21"/>
      <c r="BI903" s="20"/>
      <c r="BJ903" s="20"/>
      <c r="BK903" s="20"/>
      <c r="BL903" s="20"/>
      <c r="BM903" s="7"/>
      <c r="BN903" s="7"/>
    </row>
    <row r="904">
      <c r="AE904" s="14"/>
      <c r="AZ904" s="21"/>
      <c r="BA904" s="21"/>
      <c r="BB904" s="21"/>
      <c r="BC904" s="21"/>
      <c r="BD904" s="21"/>
      <c r="BE904" s="21"/>
      <c r="BF904" s="21"/>
      <c r="BG904" s="21"/>
      <c r="BI904" s="20"/>
      <c r="BJ904" s="20"/>
      <c r="BK904" s="20"/>
      <c r="BL904" s="20"/>
      <c r="BM904" s="7"/>
      <c r="BN904" s="7"/>
    </row>
    <row r="905">
      <c r="AE905" s="14"/>
      <c r="AZ905" s="21"/>
      <c r="BA905" s="21"/>
      <c r="BB905" s="21"/>
      <c r="BC905" s="21"/>
      <c r="BD905" s="21"/>
      <c r="BE905" s="21"/>
      <c r="BF905" s="21"/>
      <c r="BG905" s="21"/>
      <c r="BI905" s="20"/>
      <c r="BJ905" s="20"/>
      <c r="BK905" s="20"/>
      <c r="BL905" s="20"/>
      <c r="BM905" s="7"/>
      <c r="BN905" s="7"/>
    </row>
    <row r="906">
      <c r="AE906" s="14"/>
      <c r="AZ906" s="21"/>
      <c r="BA906" s="21"/>
      <c r="BB906" s="21"/>
      <c r="BC906" s="21"/>
      <c r="BD906" s="21"/>
      <c r="BE906" s="21"/>
      <c r="BF906" s="21"/>
      <c r="BG906" s="21"/>
      <c r="BI906" s="20"/>
      <c r="BJ906" s="20"/>
      <c r="BK906" s="20"/>
      <c r="BL906" s="20"/>
      <c r="BM906" s="7"/>
      <c r="BN906" s="7"/>
    </row>
    <row r="907">
      <c r="AE907" s="14"/>
      <c r="AZ907" s="21"/>
      <c r="BA907" s="21"/>
      <c r="BB907" s="21"/>
      <c r="BC907" s="21"/>
      <c r="BD907" s="21"/>
      <c r="BE907" s="21"/>
      <c r="BF907" s="21"/>
      <c r="BG907" s="21"/>
      <c r="BI907" s="20"/>
      <c r="BJ907" s="20"/>
      <c r="BK907" s="20"/>
      <c r="BL907" s="20"/>
      <c r="BM907" s="7"/>
      <c r="BN907" s="7"/>
    </row>
    <row r="908">
      <c r="AE908" s="14"/>
      <c r="AZ908" s="21"/>
      <c r="BA908" s="21"/>
      <c r="BB908" s="21"/>
      <c r="BC908" s="21"/>
      <c r="BD908" s="21"/>
      <c r="BE908" s="21"/>
      <c r="BF908" s="21"/>
      <c r="BG908" s="21"/>
      <c r="BI908" s="20"/>
      <c r="BJ908" s="20"/>
      <c r="BK908" s="20"/>
      <c r="BL908" s="20"/>
      <c r="BM908" s="7"/>
      <c r="BN908" s="7"/>
    </row>
    <row r="909">
      <c r="AE909" s="14"/>
      <c r="AZ909" s="21"/>
      <c r="BA909" s="21"/>
      <c r="BB909" s="21"/>
      <c r="BC909" s="21"/>
      <c r="BD909" s="21"/>
      <c r="BE909" s="21"/>
      <c r="BF909" s="21"/>
      <c r="BG909" s="21"/>
      <c r="BI909" s="20"/>
      <c r="BJ909" s="20"/>
      <c r="BK909" s="20"/>
      <c r="BL909" s="20"/>
      <c r="BM909" s="7"/>
      <c r="BN909" s="7"/>
    </row>
    <row r="910">
      <c r="AE910" s="14"/>
      <c r="AZ910" s="21"/>
      <c r="BA910" s="21"/>
      <c r="BB910" s="21"/>
      <c r="BC910" s="21"/>
      <c r="BD910" s="21"/>
      <c r="BE910" s="21"/>
      <c r="BF910" s="21"/>
      <c r="BG910" s="21"/>
      <c r="BI910" s="20"/>
      <c r="BJ910" s="20"/>
      <c r="BK910" s="20"/>
      <c r="BL910" s="20"/>
      <c r="BM910" s="7"/>
      <c r="BN910" s="7"/>
    </row>
    <row r="911">
      <c r="AE911" s="14"/>
      <c r="AZ911" s="21"/>
      <c r="BA911" s="21"/>
      <c r="BB911" s="21"/>
      <c r="BC911" s="21"/>
      <c r="BD911" s="21"/>
      <c r="BE911" s="21"/>
      <c r="BF911" s="21"/>
      <c r="BG911" s="21"/>
      <c r="BI911" s="20"/>
      <c r="BJ911" s="20"/>
      <c r="BK911" s="20"/>
      <c r="BL911" s="20"/>
      <c r="BM911" s="7"/>
      <c r="BN911" s="7"/>
    </row>
    <row r="912">
      <c r="AE912" s="14"/>
      <c r="AZ912" s="21"/>
      <c r="BA912" s="21"/>
      <c r="BB912" s="21"/>
      <c r="BC912" s="21"/>
      <c r="BD912" s="21"/>
      <c r="BE912" s="21"/>
      <c r="BF912" s="21"/>
      <c r="BG912" s="21"/>
      <c r="BI912" s="20"/>
      <c r="BJ912" s="20"/>
      <c r="BK912" s="20"/>
      <c r="BL912" s="20"/>
      <c r="BM912" s="7"/>
      <c r="BN912" s="7"/>
    </row>
    <row r="913">
      <c r="AE913" s="14"/>
      <c r="AZ913" s="21"/>
      <c r="BA913" s="21"/>
      <c r="BB913" s="21"/>
      <c r="BC913" s="21"/>
      <c r="BD913" s="21"/>
      <c r="BE913" s="21"/>
      <c r="BF913" s="21"/>
      <c r="BG913" s="21"/>
      <c r="BI913" s="20"/>
      <c r="BJ913" s="20"/>
      <c r="BK913" s="20"/>
      <c r="BL913" s="20"/>
      <c r="BM913" s="7"/>
      <c r="BN913" s="7"/>
    </row>
    <row r="914">
      <c r="AE914" s="14"/>
      <c r="AZ914" s="21"/>
      <c r="BA914" s="21"/>
      <c r="BB914" s="21"/>
      <c r="BC914" s="21"/>
      <c r="BD914" s="21"/>
      <c r="BE914" s="21"/>
      <c r="BF914" s="21"/>
      <c r="BG914" s="21"/>
      <c r="BI914" s="20"/>
      <c r="BJ914" s="20"/>
      <c r="BK914" s="20"/>
      <c r="BL914" s="20"/>
      <c r="BM914" s="7"/>
      <c r="BN914" s="7"/>
    </row>
    <row r="915">
      <c r="AE915" s="14"/>
      <c r="AZ915" s="21"/>
      <c r="BA915" s="21"/>
      <c r="BB915" s="21"/>
      <c r="BC915" s="21"/>
      <c r="BD915" s="21"/>
      <c r="BE915" s="21"/>
      <c r="BF915" s="21"/>
      <c r="BG915" s="21"/>
      <c r="BI915" s="20"/>
      <c r="BJ915" s="20"/>
      <c r="BK915" s="20"/>
      <c r="BL915" s="20"/>
      <c r="BM915" s="7"/>
      <c r="BN915" s="7"/>
    </row>
    <row r="916">
      <c r="AE916" s="14"/>
      <c r="AZ916" s="21"/>
      <c r="BA916" s="21"/>
      <c r="BB916" s="21"/>
      <c r="BC916" s="21"/>
      <c r="BD916" s="21"/>
      <c r="BE916" s="21"/>
      <c r="BF916" s="21"/>
      <c r="BG916" s="21"/>
      <c r="BI916" s="20"/>
      <c r="BJ916" s="20"/>
      <c r="BK916" s="20"/>
      <c r="BL916" s="20"/>
      <c r="BM916" s="7"/>
      <c r="BN916" s="7"/>
    </row>
    <row r="917">
      <c r="AE917" s="14"/>
      <c r="AZ917" s="21"/>
      <c r="BA917" s="21"/>
      <c r="BB917" s="21"/>
      <c r="BC917" s="21"/>
      <c r="BD917" s="21"/>
      <c r="BE917" s="21"/>
      <c r="BF917" s="21"/>
      <c r="BG917" s="21"/>
      <c r="BI917" s="20"/>
      <c r="BJ917" s="20"/>
      <c r="BK917" s="20"/>
      <c r="BL917" s="20"/>
      <c r="BM917" s="7"/>
      <c r="BN917" s="7"/>
    </row>
    <row r="918">
      <c r="AE918" s="14"/>
      <c r="AZ918" s="21"/>
      <c r="BA918" s="21"/>
      <c r="BB918" s="21"/>
      <c r="BC918" s="21"/>
      <c r="BD918" s="21"/>
      <c r="BE918" s="21"/>
      <c r="BF918" s="21"/>
      <c r="BG918" s="21"/>
      <c r="BI918" s="20"/>
      <c r="BJ918" s="20"/>
      <c r="BK918" s="20"/>
      <c r="BL918" s="20"/>
      <c r="BM918" s="7"/>
      <c r="BN918" s="7"/>
    </row>
    <row r="919">
      <c r="AE919" s="14"/>
      <c r="AZ919" s="21"/>
      <c r="BA919" s="21"/>
      <c r="BB919" s="21"/>
      <c r="BC919" s="21"/>
      <c r="BD919" s="21"/>
      <c r="BE919" s="21"/>
      <c r="BF919" s="21"/>
      <c r="BG919" s="21"/>
      <c r="BI919" s="20"/>
      <c r="BJ919" s="20"/>
      <c r="BK919" s="20"/>
      <c r="BL919" s="20"/>
      <c r="BM919" s="7"/>
      <c r="BN919" s="7"/>
    </row>
    <row r="920">
      <c r="AE920" s="14"/>
      <c r="AZ920" s="21"/>
      <c r="BA920" s="21"/>
      <c r="BB920" s="21"/>
      <c r="BC920" s="21"/>
      <c r="BD920" s="21"/>
      <c r="BE920" s="21"/>
      <c r="BF920" s="21"/>
      <c r="BG920" s="21"/>
      <c r="BI920" s="20"/>
      <c r="BJ920" s="20"/>
      <c r="BK920" s="20"/>
      <c r="BL920" s="20"/>
      <c r="BM920" s="7"/>
      <c r="BN920" s="7"/>
    </row>
    <row r="921">
      <c r="AE921" s="14"/>
      <c r="AZ921" s="21"/>
      <c r="BA921" s="21"/>
      <c r="BB921" s="21"/>
      <c r="BC921" s="21"/>
      <c r="BD921" s="21"/>
      <c r="BE921" s="21"/>
      <c r="BF921" s="21"/>
      <c r="BG921" s="21"/>
      <c r="BI921" s="20"/>
      <c r="BJ921" s="20"/>
      <c r="BK921" s="20"/>
      <c r="BL921" s="20"/>
      <c r="BM921" s="7"/>
      <c r="BN921" s="7"/>
    </row>
    <row r="922">
      <c r="AE922" s="14"/>
      <c r="AZ922" s="21"/>
      <c r="BA922" s="21"/>
      <c r="BB922" s="21"/>
      <c r="BC922" s="21"/>
      <c r="BD922" s="21"/>
      <c r="BE922" s="21"/>
      <c r="BF922" s="21"/>
      <c r="BG922" s="21"/>
      <c r="BI922" s="20"/>
      <c r="BJ922" s="20"/>
      <c r="BK922" s="20"/>
      <c r="BL922" s="20"/>
      <c r="BM922" s="7"/>
      <c r="BN922" s="7"/>
    </row>
    <row r="923">
      <c r="AE923" s="14"/>
      <c r="AZ923" s="21"/>
      <c r="BA923" s="21"/>
      <c r="BB923" s="21"/>
      <c r="BC923" s="21"/>
      <c r="BD923" s="21"/>
      <c r="BE923" s="21"/>
      <c r="BF923" s="21"/>
      <c r="BG923" s="21"/>
      <c r="BI923" s="20"/>
      <c r="BJ923" s="20"/>
      <c r="BK923" s="20"/>
      <c r="BL923" s="20"/>
      <c r="BM923" s="7"/>
      <c r="BN923" s="7"/>
    </row>
    <row r="924">
      <c r="AE924" s="14"/>
      <c r="AZ924" s="21"/>
      <c r="BA924" s="21"/>
      <c r="BB924" s="21"/>
      <c r="BC924" s="21"/>
      <c r="BD924" s="21"/>
      <c r="BE924" s="21"/>
      <c r="BF924" s="21"/>
      <c r="BG924" s="21"/>
      <c r="BI924" s="20"/>
      <c r="BJ924" s="20"/>
      <c r="BK924" s="20"/>
      <c r="BL924" s="20"/>
      <c r="BM924" s="7"/>
      <c r="BN924" s="7"/>
    </row>
    <row r="925">
      <c r="AE925" s="14"/>
      <c r="AZ925" s="21"/>
      <c r="BA925" s="21"/>
      <c r="BB925" s="21"/>
      <c r="BC925" s="21"/>
      <c r="BD925" s="21"/>
      <c r="BE925" s="21"/>
      <c r="BF925" s="21"/>
      <c r="BG925" s="21"/>
      <c r="BI925" s="20"/>
      <c r="BJ925" s="20"/>
      <c r="BK925" s="20"/>
      <c r="BL925" s="20"/>
      <c r="BM925" s="7"/>
      <c r="BN925" s="7"/>
    </row>
    <row r="926">
      <c r="AE926" s="14"/>
      <c r="AZ926" s="21"/>
      <c r="BA926" s="21"/>
      <c r="BB926" s="21"/>
      <c r="BC926" s="21"/>
      <c r="BD926" s="21"/>
      <c r="BE926" s="21"/>
      <c r="BF926" s="21"/>
      <c r="BG926" s="21"/>
      <c r="BI926" s="20"/>
      <c r="BJ926" s="20"/>
      <c r="BK926" s="20"/>
      <c r="BL926" s="20"/>
      <c r="BM926" s="7"/>
      <c r="BN926" s="7"/>
    </row>
    <row r="927">
      <c r="AE927" s="14"/>
      <c r="AZ927" s="21"/>
      <c r="BA927" s="21"/>
      <c r="BB927" s="21"/>
      <c r="BC927" s="21"/>
      <c r="BD927" s="21"/>
      <c r="BE927" s="21"/>
      <c r="BF927" s="21"/>
      <c r="BG927" s="21"/>
      <c r="BI927" s="20"/>
      <c r="BJ927" s="20"/>
      <c r="BK927" s="20"/>
      <c r="BL927" s="20"/>
      <c r="BM927" s="7"/>
      <c r="BN927" s="7"/>
    </row>
    <row r="928">
      <c r="AE928" s="14"/>
      <c r="AZ928" s="21"/>
      <c r="BA928" s="21"/>
      <c r="BB928" s="21"/>
      <c r="BC928" s="21"/>
      <c r="BD928" s="21"/>
      <c r="BE928" s="21"/>
      <c r="BF928" s="21"/>
      <c r="BG928" s="21"/>
      <c r="BI928" s="20"/>
      <c r="BJ928" s="20"/>
      <c r="BK928" s="20"/>
      <c r="BL928" s="20"/>
      <c r="BM928" s="7"/>
      <c r="BN928" s="7"/>
    </row>
    <row r="929">
      <c r="AE929" s="14"/>
      <c r="AZ929" s="21"/>
      <c r="BA929" s="21"/>
      <c r="BB929" s="21"/>
      <c r="BC929" s="21"/>
      <c r="BD929" s="21"/>
      <c r="BE929" s="21"/>
      <c r="BF929" s="21"/>
      <c r="BG929" s="21"/>
      <c r="BI929" s="20"/>
      <c r="BJ929" s="20"/>
      <c r="BK929" s="20"/>
      <c r="BL929" s="20"/>
      <c r="BM929" s="7"/>
      <c r="BN929" s="7"/>
    </row>
    <row r="930">
      <c r="AE930" s="14"/>
      <c r="AZ930" s="21"/>
      <c r="BA930" s="21"/>
      <c r="BB930" s="21"/>
      <c r="BC930" s="21"/>
      <c r="BD930" s="21"/>
      <c r="BE930" s="21"/>
      <c r="BF930" s="21"/>
      <c r="BG930" s="21"/>
      <c r="BI930" s="20"/>
      <c r="BJ930" s="20"/>
      <c r="BK930" s="20"/>
      <c r="BL930" s="20"/>
      <c r="BM930" s="7"/>
      <c r="BN930" s="7"/>
    </row>
    <row r="931">
      <c r="AE931" s="14"/>
      <c r="AZ931" s="21"/>
      <c r="BA931" s="21"/>
      <c r="BB931" s="21"/>
      <c r="BC931" s="21"/>
      <c r="BD931" s="21"/>
      <c r="BE931" s="21"/>
      <c r="BF931" s="21"/>
      <c r="BG931" s="21"/>
      <c r="BI931" s="20"/>
      <c r="BJ931" s="20"/>
      <c r="BK931" s="20"/>
      <c r="BL931" s="20"/>
      <c r="BM931" s="7"/>
      <c r="BN931" s="7"/>
    </row>
    <row r="932">
      <c r="AE932" s="14"/>
      <c r="AZ932" s="21"/>
      <c r="BA932" s="21"/>
      <c r="BB932" s="21"/>
      <c r="BC932" s="21"/>
      <c r="BD932" s="21"/>
      <c r="BE932" s="21"/>
      <c r="BF932" s="21"/>
      <c r="BG932" s="21"/>
      <c r="BI932" s="20"/>
      <c r="BJ932" s="20"/>
      <c r="BK932" s="20"/>
      <c r="BL932" s="20"/>
      <c r="BM932" s="7"/>
      <c r="BN932" s="7"/>
    </row>
    <row r="933">
      <c r="AE933" s="14"/>
      <c r="AZ933" s="21"/>
      <c r="BA933" s="21"/>
      <c r="BB933" s="21"/>
      <c r="BC933" s="21"/>
      <c r="BD933" s="21"/>
      <c r="BE933" s="21"/>
      <c r="BF933" s="21"/>
      <c r="BG933" s="21"/>
      <c r="BI933" s="20"/>
      <c r="BJ933" s="20"/>
      <c r="BK933" s="20"/>
      <c r="BL933" s="20"/>
      <c r="BM933" s="7"/>
      <c r="BN933" s="7"/>
    </row>
    <row r="934">
      <c r="AE934" s="14"/>
      <c r="AZ934" s="21"/>
      <c r="BA934" s="21"/>
      <c r="BB934" s="21"/>
      <c r="BC934" s="21"/>
      <c r="BD934" s="21"/>
      <c r="BE934" s="21"/>
      <c r="BF934" s="21"/>
      <c r="BG934" s="21"/>
      <c r="BI934" s="20"/>
      <c r="BJ934" s="20"/>
      <c r="BK934" s="20"/>
      <c r="BL934" s="20"/>
      <c r="BM934" s="7"/>
      <c r="BN934" s="7"/>
    </row>
    <row r="935">
      <c r="AE935" s="14"/>
      <c r="AZ935" s="21"/>
      <c r="BA935" s="21"/>
      <c r="BB935" s="21"/>
      <c r="BC935" s="21"/>
      <c r="BD935" s="21"/>
      <c r="BE935" s="21"/>
      <c r="BF935" s="21"/>
      <c r="BG935" s="21"/>
      <c r="BI935" s="20"/>
      <c r="BJ935" s="20"/>
      <c r="BK935" s="20"/>
      <c r="BL935" s="20"/>
      <c r="BM935" s="7"/>
      <c r="BN935" s="7"/>
    </row>
    <row r="936">
      <c r="AE936" s="14"/>
      <c r="AZ936" s="21"/>
      <c r="BA936" s="21"/>
      <c r="BB936" s="21"/>
      <c r="BC936" s="21"/>
      <c r="BD936" s="21"/>
      <c r="BE936" s="21"/>
      <c r="BF936" s="21"/>
      <c r="BG936" s="21"/>
      <c r="BI936" s="20"/>
      <c r="BJ936" s="20"/>
      <c r="BK936" s="20"/>
      <c r="BL936" s="20"/>
      <c r="BM936" s="7"/>
      <c r="BN936" s="7"/>
    </row>
    <row r="937">
      <c r="AE937" s="14"/>
      <c r="AZ937" s="21"/>
      <c r="BA937" s="21"/>
      <c r="BB937" s="21"/>
      <c r="BC937" s="21"/>
      <c r="BD937" s="21"/>
      <c r="BE937" s="21"/>
      <c r="BF937" s="21"/>
      <c r="BG937" s="21"/>
      <c r="BI937" s="20"/>
      <c r="BJ937" s="20"/>
      <c r="BK937" s="20"/>
      <c r="BL937" s="20"/>
      <c r="BM937" s="7"/>
      <c r="BN937" s="7"/>
    </row>
    <row r="938">
      <c r="AE938" s="14"/>
      <c r="AZ938" s="21"/>
      <c r="BA938" s="21"/>
      <c r="BB938" s="21"/>
      <c r="BC938" s="21"/>
      <c r="BD938" s="21"/>
      <c r="BE938" s="21"/>
      <c r="BF938" s="21"/>
      <c r="BG938" s="21"/>
      <c r="BI938" s="20"/>
      <c r="BJ938" s="20"/>
      <c r="BK938" s="20"/>
      <c r="BL938" s="20"/>
      <c r="BM938" s="7"/>
      <c r="BN938" s="7"/>
    </row>
    <row r="939">
      <c r="AE939" s="14"/>
      <c r="AZ939" s="21"/>
      <c r="BA939" s="21"/>
      <c r="BB939" s="21"/>
      <c r="BC939" s="21"/>
      <c r="BD939" s="21"/>
      <c r="BE939" s="21"/>
      <c r="BF939" s="21"/>
      <c r="BG939" s="21"/>
      <c r="BI939" s="20"/>
      <c r="BJ939" s="20"/>
      <c r="BK939" s="20"/>
      <c r="BL939" s="20"/>
      <c r="BM939" s="7"/>
      <c r="BN939" s="7"/>
    </row>
    <row r="940">
      <c r="AE940" s="14"/>
      <c r="AZ940" s="21"/>
      <c r="BA940" s="21"/>
      <c r="BB940" s="21"/>
      <c r="BC940" s="21"/>
      <c r="BD940" s="21"/>
      <c r="BE940" s="21"/>
      <c r="BF940" s="21"/>
      <c r="BG940" s="21"/>
      <c r="BI940" s="20"/>
      <c r="BJ940" s="20"/>
      <c r="BK940" s="20"/>
      <c r="BL940" s="20"/>
      <c r="BM940" s="7"/>
      <c r="BN940" s="7"/>
    </row>
    <row r="941">
      <c r="AE941" s="14"/>
      <c r="AZ941" s="21"/>
      <c r="BA941" s="21"/>
      <c r="BB941" s="21"/>
      <c r="BC941" s="21"/>
      <c r="BD941" s="21"/>
      <c r="BE941" s="21"/>
      <c r="BF941" s="21"/>
      <c r="BG941" s="21"/>
      <c r="BI941" s="20"/>
      <c r="BJ941" s="20"/>
      <c r="BK941" s="20"/>
      <c r="BL941" s="20"/>
      <c r="BM941" s="7"/>
      <c r="BN941" s="7"/>
    </row>
    <row r="942">
      <c r="AE942" s="14"/>
      <c r="AZ942" s="21"/>
      <c r="BA942" s="21"/>
      <c r="BB942" s="21"/>
      <c r="BC942" s="21"/>
      <c r="BD942" s="21"/>
      <c r="BE942" s="21"/>
      <c r="BF942" s="21"/>
      <c r="BG942" s="21"/>
      <c r="BI942" s="20"/>
      <c r="BJ942" s="20"/>
      <c r="BK942" s="20"/>
      <c r="BL942" s="20"/>
      <c r="BM942" s="7"/>
      <c r="BN942" s="7"/>
    </row>
    <row r="943">
      <c r="AE943" s="14"/>
      <c r="AZ943" s="21"/>
      <c r="BA943" s="21"/>
      <c r="BB943" s="21"/>
      <c r="BC943" s="21"/>
      <c r="BD943" s="21"/>
      <c r="BE943" s="21"/>
      <c r="BF943" s="21"/>
      <c r="BG943" s="21"/>
      <c r="BI943" s="20"/>
      <c r="BJ943" s="20"/>
      <c r="BK943" s="20"/>
      <c r="BL943" s="20"/>
      <c r="BM943" s="7"/>
      <c r="BN943" s="7"/>
    </row>
    <row r="944">
      <c r="AE944" s="14"/>
      <c r="AZ944" s="21"/>
      <c r="BA944" s="21"/>
      <c r="BB944" s="21"/>
      <c r="BC944" s="21"/>
      <c r="BD944" s="21"/>
      <c r="BE944" s="21"/>
      <c r="BF944" s="21"/>
      <c r="BG944" s="21"/>
      <c r="BI944" s="20"/>
      <c r="BJ944" s="20"/>
      <c r="BK944" s="20"/>
      <c r="BL944" s="20"/>
      <c r="BM944" s="7"/>
      <c r="BN944" s="7"/>
    </row>
    <row r="945">
      <c r="AE945" s="14"/>
      <c r="AZ945" s="21"/>
      <c r="BA945" s="21"/>
      <c r="BB945" s="21"/>
      <c r="BC945" s="21"/>
      <c r="BD945" s="21"/>
      <c r="BE945" s="21"/>
      <c r="BF945" s="21"/>
      <c r="BG945" s="21"/>
      <c r="BI945" s="20"/>
      <c r="BJ945" s="20"/>
      <c r="BK945" s="20"/>
      <c r="BL945" s="20"/>
      <c r="BM945" s="7"/>
      <c r="BN945" s="7"/>
    </row>
    <row r="946">
      <c r="AE946" s="14"/>
      <c r="AZ946" s="21"/>
      <c r="BA946" s="21"/>
      <c r="BB946" s="21"/>
      <c r="BC946" s="21"/>
      <c r="BD946" s="21"/>
      <c r="BE946" s="21"/>
      <c r="BF946" s="21"/>
      <c r="BG946" s="21"/>
      <c r="BI946" s="20"/>
      <c r="BJ946" s="20"/>
      <c r="BK946" s="20"/>
      <c r="BL946" s="20"/>
      <c r="BM946" s="7"/>
      <c r="BN946" s="7"/>
    </row>
    <row r="947">
      <c r="AE947" s="14"/>
      <c r="AZ947" s="21"/>
      <c r="BA947" s="21"/>
      <c r="BB947" s="21"/>
      <c r="BC947" s="21"/>
      <c r="BD947" s="21"/>
      <c r="BE947" s="21"/>
      <c r="BF947" s="21"/>
      <c r="BG947" s="21"/>
      <c r="BI947" s="20"/>
      <c r="BJ947" s="20"/>
      <c r="BK947" s="20"/>
      <c r="BL947" s="20"/>
      <c r="BM947" s="7"/>
      <c r="BN947" s="7"/>
    </row>
    <row r="948">
      <c r="AE948" s="14"/>
      <c r="AZ948" s="21"/>
      <c r="BA948" s="21"/>
      <c r="BB948" s="21"/>
      <c r="BC948" s="21"/>
      <c r="BD948" s="21"/>
      <c r="BE948" s="21"/>
      <c r="BF948" s="21"/>
      <c r="BG948" s="21"/>
      <c r="BI948" s="20"/>
      <c r="BJ948" s="20"/>
      <c r="BK948" s="20"/>
      <c r="BL948" s="20"/>
      <c r="BM948" s="7"/>
      <c r="BN948" s="7"/>
    </row>
    <row r="949">
      <c r="AE949" s="14"/>
      <c r="AZ949" s="21"/>
      <c r="BA949" s="21"/>
      <c r="BB949" s="21"/>
      <c r="BC949" s="21"/>
      <c r="BD949" s="21"/>
      <c r="BE949" s="21"/>
      <c r="BF949" s="21"/>
      <c r="BG949" s="21"/>
      <c r="BI949" s="20"/>
      <c r="BJ949" s="20"/>
      <c r="BK949" s="20"/>
      <c r="BL949" s="20"/>
      <c r="BM949" s="7"/>
      <c r="BN949" s="7"/>
    </row>
    <row r="950">
      <c r="AE950" s="14"/>
      <c r="AZ950" s="21"/>
      <c r="BA950" s="21"/>
      <c r="BB950" s="21"/>
      <c r="BC950" s="21"/>
      <c r="BD950" s="21"/>
      <c r="BE950" s="21"/>
      <c r="BF950" s="21"/>
      <c r="BG950" s="21"/>
      <c r="BI950" s="20"/>
      <c r="BJ950" s="20"/>
      <c r="BK950" s="20"/>
      <c r="BL950" s="20"/>
      <c r="BM950" s="7"/>
      <c r="BN950" s="7"/>
    </row>
    <row r="951">
      <c r="AE951" s="14"/>
      <c r="AZ951" s="21"/>
      <c r="BA951" s="21"/>
      <c r="BB951" s="21"/>
      <c r="BC951" s="21"/>
      <c r="BD951" s="21"/>
      <c r="BE951" s="21"/>
      <c r="BF951" s="21"/>
      <c r="BG951" s="21"/>
      <c r="BI951" s="20"/>
      <c r="BJ951" s="20"/>
      <c r="BK951" s="20"/>
      <c r="BL951" s="20"/>
      <c r="BM951" s="7"/>
      <c r="BN951" s="7"/>
    </row>
    <row r="952">
      <c r="AE952" s="14"/>
      <c r="AZ952" s="21"/>
      <c r="BA952" s="21"/>
      <c r="BB952" s="21"/>
      <c r="BC952" s="21"/>
      <c r="BD952" s="21"/>
      <c r="BE952" s="21"/>
      <c r="BF952" s="21"/>
      <c r="BG952" s="21"/>
      <c r="BI952" s="20"/>
      <c r="BJ952" s="20"/>
      <c r="BK952" s="20"/>
      <c r="BL952" s="20"/>
      <c r="BM952" s="7"/>
      <c r="BN952" s="7"/>
    </row>
    <row r="953">
      <c r="AE953" s="14"/>
      <c r="AZ953" s="21"/>
      <c r="BA953" s="21"/>
      <c r="BB953" s="21"/>
      <c r="BC953" s="21"/>
      <c r="BD953" s="21"/>
      <c r="BE953" s="21"/>
      <c r="BF953" s="21"/>
      <c r="BG953" s="21"/>
      <c r="BI953" s="20"/>
      <c r="BJ953" s="20"/>
      <c r="BK953" s="20"/>
      <c r="BL953" s="20"/>
      <c r="BM953" s="7"/>
      <c r="BN953" s="7"/>
    </row>
    <row r="954">
      <c r="AE954" s="14"/>
      <c r="AZ954" s="21"/>
      <c r="BA954" s="21"/>
      <c r="BB954" s="21"/>
      <c r="BC954" s="21"/>
      <c r="BD954" s="21"/>
      <c r="BE954" s="21"/>
      <c r="BF954" s="21"/>
      <c r="BG954" s="21"/>
      <c r="BI954" s="20"/>
      <c r="BJ954" s="20"/>
      <c r="BK954" s="20"/>
      <c r="BL954" s="20"/>
      <c r="BM954" s="7"/>
      <c r="BN954" s="7"/>
    </row>
    <row r="955">
      <c r="AE955" s="14"/>
      <c r="AZ955" s="21"/>
      <c r="BA955" s="21"/>
      <c r="BB955" s="21"/>
      <c r="BC955" s="21"/>
      <c r="BD955" s="21"/>
      <c r="BE955" s="21"/>
      <c r="BF955" s="21"/>
      <c r="BG955" s="21"/>
      <c r="BI955" s="20"/>
      <c r="BJ955" s="20"/>
      <c r="BK955" s="20"/>
      <c r="BL955" s="20"/>
      <c r="BM955" s="7"/>
      <c r="BN955" s="7"/>
    </row>
    <row r="956">
      <c r="AE956" s="14"/>
      <c r="AZ956" s="21"/>
      <c r="BA956" s="21"/>
      <c r="BB956" s="21"/>
      <c r="BC956" s="21"/>
      <c r="BD956" s="21"/>
      <c r="BE956" s="21"/>
      <c r="BF956" s="21"/>
      <c r="BG956" s="21"/>
      <c r="BI956" s="20"/>
      <c r="BJ956" s="20"/>
      <c r="BK956" s="20"/>
      <c r="BL956" s="20"/>
      <c r="BM956" s="7"/>
      <c r="BN956" s="7"/>
    </row>
    <row r="957">
      <c r="AE957" s="14"/>
      <c r="AZ957" s="21"/>
      <c r="BA957" s="21"/>
      <c r="BB957" s="21"/>
      <c r="BC957" s="21"/>
      <c r="BD957" s="21"/>
      <c r="BE957" s="21"/>
      <c r="BF957" s="21"/>
      <c r="BG957" s="21"/>
      <c r="BI957" s="20"/>
      <c r="BJ957" s="20"/>
      <c r="BK957" s="20"/>
      <c r="BL957" s="20"/>
      <c r="BM957" s="7"/>
      <c r="BN957" s="7"/>
    </row>
    <row r="958">
      <c r="AE958" s="14"/>
      <c r="AZ958" s="21"/>
      <c r="BA958" s="21"/>
      <c r="BB958" s="21"/>
      <c r="BC958" s="21"/>
      <c r="BD958" s="21"/>
      <c r="BE958" s="21"/>
      <c r="BF958" s="21"/>
      <c r="BG958" s="21"/>
      <c r="BI958" s="20"/>
      <c r="BJ958" s="20"/>
      <c r="BK958" s="20"/>
      <c r="BL958" s="20"/>
      <c r="BM958" s="7"/>
      <c r="BN958" s="7"/>
    </row>
    <row r="959">
      <c r="AE959" s="14"/>
      <c r="AZ959" s="21"/>
      <c r="BA959" s="21"/>
      <c r="BB959" s="21"/>
      <c r="BC959" s="21"/>
      <c r="BD959" s="21"/>
      <c r="BE959" s="21"/>
      <c r="BF959" s="21"/>
      <c r="BG959" s="21"/>
      <c r="BI959" s="20"/>
      <c r="BJ959" s="20"/>
      <c r="BK959" s="20"/>
      <c r="BL959" s="20"/>
      <c r="BM959" s="7"/>
      <c r="BN959" s="7"/>
    </row>
    <row r="960">
      <c r="AE960" s="14"/>
      <c r="AZ960" s="21"/>
      <c r="BA960" s="21"/>
      <c r="BB960" s="21"/>
      <c r="BC960" s="21"/>
      <c r="BD960" s="21"/>
      <c r="BE960" s="21"/>
      <c r="BF960" s="21"/>
      <c r="BG960" s="21"/>
      <c r="BI960" s="20"/>
      <c r="BJ960" s="20"/>
      <c r="BK960" s="20"/>
      <c r="BL960" s="20"/>
      <c r="BM960" s="7"/>
      <c r="BN960" s="7"/>
    </row>
    <row r="961">
      <c r="AE961" s="14"/>
      <c r="AZ961" s="21"/>
      <c r="BA961" s="21"/>
      <c r="BB961" s="21"/>
      <c r="BC961" s="21"/>
      <c r="BD961" s="21"/>
      <c r="BE961" s="21"/>
      <c r="BF961" s="21"/>
      <c r="BG961" s="21"/>
      <c r="BI961" s="20"/>
      <c r="BJ961" s="20"/>
      <c r="BK961" s="20"/>
      <c r="BL961" s="20"/>
      <c r="BM961" s="7"/>
      <c r="BN961" s="7"/>
    </row>
    <row r="962">
      <c r="AE962" s="14"/>
      <c r="AZ962" s="21"/>
      <c r="BA962" s="21"/>
      <c r="BB962" s="21"/>
      <c r="BC962" s="21"/>
      <c r="BD962" s="21"/>
      <c r="BE962" s="21"/>
      <c r="BF962" s="21"/>
      <c r="BG962" s="21"/>
      <c r="BI962" s="20"/>
      <c r="BJ962" s="20"/>
      <c r="BK962" s="20"/>
      <c r="BL962" s="20"/>
      <c r="BM962" s="7"/>
      <c r="BN962" s="7"/>
    </row>
    <row r="963">
      <c r="AE963" s="14"/>
      <c r="AZ963" s="21"/>
      <c r="BA963" s="21"/>
      <c r="BB963" s="21"/>
      <c r="BC963" s="21"/>
      <c r="BD963" s="21"/>
      <c r="BE963" s="21"/>
      <c r="BF963" s="21"/>
      <c r="BG963" s="21"/>
      <c r="BI963" s="20"/>
      <c r="BJ963" s="20"/>
      <c r="BK963" s="20"/>
      <c r="BL963" s="20"/>
      <c r="BM963" s="7"/>
      <c r="BN963" s="7"/>
    </row>
    <row r="964">
      <c r="AE964" s="14"/>
      <c r="AZ964" s="21"/>
      <c r="BA964" s="21"/>
      <c r="BB964" s="21"/>
      <c r="BC964" s="21"/>
      <c r="BD964" s="21"/>
      <c r="BE964" s="21"/>
      <c r="BF964" s="21"/>
      <c r="BG964" s="21"/>
      <c r="BI964" s="20"/>
      <c r="BJ964" s="20"/>
      <c r="BK964" s="20"/>
      <c r="BL964" s="20"/>
      <c r="BM964" s="7"/>
      <c r="BN964" s="7"/>
    </row>
    <row r="965">
      <c r="AE965" s="14"/>
      <c r="AZ965" s="21"/>
      <c r="BA965" s="21"/>
      <c r="BB965" s="21"/>
      <c r="BC965" s="21"/>
      <c r="BD965" s="21"/>
      <c r="BE965" s="21"/>
      <c r="BF965" s="21"/>
      <c r="BG965" s="21"/>
      <c r="BI965" s="20"/>
      <c r="BJ965" s="20"/>
      <c r="BK965" s="20"/>
      <c r="BL965" s="20"/>
      <c r="BM965" s="7"/>
      <c r="BN965" s="7"/>
    </row>
    <row r="966">
      <c r="AE966" s="14"/>
      <c r="AZ966" s="21"/>
      <c r="BA966" s="21"/>
      <c r="BB966" s="21"/>
      <c r="BC966" s="21"/>
      <c r="BD966" s="21"/>
      <c r="BE966" s="21"/>
      <c r="BF966" s="21"/>
      <c r="BG966" s="21"/>
      <c r="BI966" s="20"/>
      <c r="BJ966" s="20"/>
      <c r="BK966" s="20"/>
      <c r="BL966" s="20"/>
      <c r="BM966" s="7"/>
      <c r="BN966" s="7"/>
    </row>
    <row r="967">
      <c r="AE967" s="14"/>
      <c r="AZ967" s="21"/>
      <c r="BA967" s="21"/>
      <c r="BB967" s="21"/>
      <c r="BC967" s="21"/>
      <c r="BD967" s="21"/>
      <c r="BE967" s="21"/>
      <c r="BF967" s="21"/>
      <c r="BG967" s="21"/>
      <c r="BI967" s="20"/>
      <c r="BJ967" s="20"/>
      <c r="BK967" s="20"/>
      <c r="BL967" s="20"/>
      <c r="BM967" s="7"/>
      <c r="BN967" s="7"/>
    </row>
    <row r="968">
      <c r="AE968" s="14"/>
      <c r="AZ968" s="21"/>
      <c r="BA968" s="21"/>
      <c r="BB968" s="21"/>
      <c r="BC968" s="21"/>
      <c r="BD968" s="21"/>
      <c r="BE968" s="21"/>
      <c r="BF968" s="21"/>
      <c r="BG968" s="21"/>
      <c r="BI968" s="20"/>
      <c r="BJ968" s="20"/>
      <c r="BK968" s="20"/>
      <c r="BL968" s="20"/>
      <c r="BM968" s="7"/>
      <c r="BN968" s="7"/>
    </row>
    <row r="969">
      <c r="AE969" s="14"/>
      <c r="AZ969" s="21"/>
      <c r="BA969" s="21"/>
      <c r="BB969" s="21"/>
      <c r="BC969" s="21"/>
      <c r="BD969" s="21"/>
      <c r="BE969" s="21"/>
      <c r="BF969" s="21"/>
      <c r="BG969" s="21"/>
      <c r="BI969" s="20"/>
      <c r="BJ969" s="20"/>
      <c r="BK969" s="20"/>
      <c r="BL969" s="20"/>
      <c r="BM969" s="7"/>
      <c r="BN969" s="7"/>
    </row>
    <row r="970">
      <c r="AE970" s="14"/>
      <c r="AZ970" s="21"/>
      <c r="BA970" s="21"/>
      <c r="BB970" s="21"/>
      <c r="BC970" s="21"/>
      <c r="BD970" s="21"/>
      <c r="BE970" s="21"/>
      <c r="BF970" s="21"/>
      <c r="BG970" s="21"/>
      <c r="BI970" s="20"/>
      <c r="BJ970" s="20"/>
      <c r="BK970" s="20"/>
      <c r="BL970" s="20"/>
      <c r="BM970" s="7"/>
      <c r="BN970" s="7"/>
    </row>
    <row r="971">
      <c r="AE971" s="14"/>
      <c r="AZ971" s="21"/>
      <c r="BA971" s="21"/>
      <c r="BB971" s="21"/>
      <c r="BC971" s="21"/>
      <c r="BD971" s="21"/>
      <c r="BE971" s="21"/>
      <c r="BF971" s="21"/>
      <c r="BG971" s="21"/>
      <c r="BI971" s="20"/>
      <c r="BJ971" s="20"/>
      <c r="BK971" s="20"/>
      <c r="BL971" s="20"/>
      <c r="BM971" s="7"/>
      <c r="BN971" s="7"/>
    </row>
    <row r="972">
      <c r="AE972" s="14"/>
      <c r="AZ972" s="21"/>
      <c r="BA972" s="21"/>
      <c r="BB972" s="21"/>
      <c r="BC972" s="21"/>
      <c r="BD972" s="21"/>
      <c r="BE972" s="21"/>
      <c r="BF972" s="21"/>
      <c r="BG972" s="21"/>
      <c r="BI972" s="20"/>
      <c r="BJ972" s="20"/>
      <c r="BK972" s="20"/>
      <c r="BL972" s="20"/>
      <c r="BM972" s="7"/>
      <c r="BN972" s="7"/>
    </row>
    <row r="973">
      <c r="AE973" s="14"/>
      <c r="AZ973" s="21"/>
      <c r="BA973" s="21"/>
      <c r="BB973" s="21"/>
      <c r="BC973" s="21"/>
      <c r="BD973" s="21"/>
      <c r="BE973" s="21"/>
      <c r="BF973" s="21"/>
      <c r="BG973" s="21"/>
      <c r="BI973" s="20"/>
      <c r="BJ973" s="20"/>
      <c r="BK973" s="20"/>
      <c r="BL973" s="20"/>
      <c r="BM973" s="7"/>
      <c r="BN973" s="7"/>
    </row>
    <row r="974">
      <c r="AE974" s="14"/>
      <c r="AZ974" s="21"/>
      <c r="BA974" s="21"/>
      <c r="BB974" s="21"/>
      <c r="BC974" s="21"/>
      <c r="BD974" s="21"/>
      <c r="BE974" s="21"/>
      <c r="BF974" s="21"/>
      <c r="BG974" s="21"/>
      <c r="BI974" s="20"/>
      <c r="BJ974" s="20"/>
      <c r="BK974" s="20"/>
      <c r="BL974" s="20"/>
      <c r="BM974" s="7"/>
      <c r="BN974" s="7"/>
    </row>
    <row r="975">
      <c r="AE975" s="14"/>
      <c r="AZ975" s="21"/>
      <c r="BA975" s="21"/>
      <c r="BB975" s="21"/>
      <c r="BC975" s="21"/>
      <c r="BD975" s="21"/>
      <c r="BE975" s="21"/>
      <c r="BF975" s="21"/>
      <c r="BG975" s="21"/>
      <c r="BI975" s="20"/>
      <c r="BJ975" s="20"/>
      <c r="BK975" s="20"/>
      <c r="BL975" s="20"/>
      <c r="BM975" s="7"/>
      <c r="BN975" s="7"/>
    </row>
    <row r="976">
      <c r="AE976" s="14"/>
      <c r="AZ976" s="21"/>
      <c r="BA976" s="21"/>
      <c r="BB976" s="21"/>
      <c r="BC976" s="21"/>
      <c r="BD976" s="21"/>
      <c r="BE976" s="21"/>
      <c r="BF976" s="21"/>
      <c r="BG976" s="21"/>
      <c r="BI976" s="20"/>
      <c r="BJ976" s="20"/>
      <c r="BK976" s="20"/>
      <c r="BL976" s="20"/>
      <c r="BM976" s="7"/>
      <c r="BN976" s="7"/>
    </row>
    <row r="977">
      <c r="AE977" s="14"/>
      <c r="AZ977" s="21"/>
      <c r="BA977" s="21"/>
      <c r="BB977" s="21"/>
      <c r="BC977" s="21"/>
      <c r="BD977" s="21"/>
      <c r="BE977" s="21"/>
      <c r="BF977" s="21"/>
      <c r="BG977" s="21"/>
      <c r="BI977" s="20"/>
      <c r="BJ977" s="20"/>
      <c r="BK977" s="20"/>
      <c r="BL977" s="20"/>
      <c r="BM977" s="7"/>
      <c r="BN977" s="7"/>
    </row>
    <row r="978">
      <c r="AE978" s="14"/>
      <c r="AZ978" s="21"/>
      <c r="BA978" s="21"/>
      <c r="BB978" s="21"/>
      <c r="BC978" s="21"/>
      <c r="BD978" s="21"/>
      <c r="BE978" s="21"/>
      <c r="BF978" s="21"/>
      <c r="BG978" s="21"/>
      <c r="BI978" s="20"/>
      <c r="BJ978" s="20"/>
      <c r="BK978" s="20"/>
      <c r="BL978" s="20"/>
      <c r="BM978" s="7"/>
      <c r="BN978" s="7"/>
    </row>
    <row r="979">
      <c r="AE979" s="14"/>
      <c r="AZ979" s="21"/>
      <c r="BA979" s="21"/>
      <c r="BB979" s="21"/>
      <c r="BC979" s="21"/>
      <c r="BD979" s="21"/>
      <c r="BE979" s="21"/>
      <c r="BF979" s="21"/>
      <c r="BG979" s="21"/>
      <c r="BI979" s="20"/>
      <c r="BJ979" s="20"/>
      <c r="BK979" s="20"/>
      <c r="BL979" s="20"/>
      <c r="BM979" s="7"/>
      <c r="BN979" s="7"/>
    </row>
    <row r="980">
      <c r="AE980" s="14"/>
      <c r="AZ980" s="21"/>
      <c r="BA980" s="21"/>
      <c r="BB980" s="21"/>
      <c r="BC980" s="21"/>
      <c r="BD980" s="21"/>
      <c r="BE980" s="21"/>
      <c r="BF980" s="21"/>
      <c r="BG980" s="21"/>
      <c r="BI980" s="20"/>
      <c r="BJ980" s="20"/>
      <c r="BK980" s="20"/>
      <c r="BL980" s="20"/>
      <c r="BM980" s="7"/>
      <c r="BN980" s="7"/>
    </row>
    <row r="981">
      <c r="AE981" s="14"/>
      <c r="AZ981" s="21"/>
      <c r="BA981" s="21"/>
      <c r="BB981" s="21"/>
      <c r="BC981" s="21"/>
      <c r="BD981" s="21"/>
      <c r="BE981" s="21"/>
      <c r="BF981" s="21"/>
      <c r="BG981" s="21"/>
      <c r="BI981" s="20"/>
      <c r="BJ981" s="20"/>
      <c r="BK981" s="20"/>
      <c r="BL981" s="20"/>
      <c r="BM981" s="7"/>
      <c r="BN981" s="7"/>
    </row>
    <row r="982">
      <c r="AE982" s="14"/>
      <c r="AZ982" s="21"/>
      <c r="BA982" s="21"/>
      <c r="BB982" s="21"/>
      <c r="BC982" s="21"/>
      <c r="BD982" s="21"/>
      <c r="BE982" s="21"/>
      <c r="BF982" s="21"/>
      <c r="BG982" s="21"/>
      <c r="BI982" s="20"/>
      <c r="BJ982" s="20"/>
      <c r="BK982" s="20"/>
      <c r="BL982" s="20"/>
      <c r="BM982" s="7"/>
      <c r="BN982" s="7"/>
    </row>
    <row r="983">
      <c r="AE983" s="14"/>
      <c r="AZ983" s="21"/>
      <c r="BA983" s="21"/>
      <c r="BB983" s="21"/>
      <c r="BC983" s="21"/>
      <c r="BD983" s="21"/>
      <c r="BE983" s="21"/>
      <c r="BF983" s="21"/>
      <c r="BG983" s="21"/>
      <c r="BI983" s="20"/>
      <c r="BJ983" s="20"/>
      <c r="BK983" s="20"/>
      <c r="BL983" s="20"/>
      <c r="BM983" s="7"/>
      <c r="BN983" s="7"/>
    </row>
    <row r="984">
      <c r="AE984" s="14"/>
      <c r="AZ984" s="21"/>
      <c r="BA984" s="21"/>
      <c r="BB984" s="21"/>
      <c r="BC984" s="21"/>
      <c r="BD984" s="21"/>
      <c r="BE984" s="21"/>
      <c r="BF984" s="21"/>
      <c r="BG984" s="21"/>
      <c r="BI984" s="20"/>
      <c r="BJ984" s="20"/>
      <c r="BK984" s="20"/>
      <c r="BL984" s="20"/>
      <c r="BM984" s="7"/>
      <c r="BN984" s="7"/>
    </row>
    <row r="985">
      <c r="AE985" s="14"/>
      <c r="AZ985" s="21"/>
      <c r="BA985" s="21"/>
      <c r="BB985" s="21"/>
      <c r="BC985" s="21"/>
      <c r="BD985" s="21"/>
      <c r="BE985" s="21"/>
      <c r="BF985" s="21"/>
      <c r="BG985" s="21"/>
      <c r="BI985" s="20"/>
      <c r="BJ985" s="20"/>
      <c r="BK985" s="20"/>
      <c r="BL985" s="20"/>
      <c r="BM985" s="7"/>
      <c r="BN985" s="7"/>
    </row>
    <row r="986">
      <c r="AE986" s="14"/>
      <c r="AZ986" s="21"/>
      <c r="BA986" s="21"/>
      <c r="BB986" s="21"/>
      <c r="BC986" s="21"/>
      <c r="BD986" s="21"/>
      <c r="BE986" s="21"/>
      <c r="BF986" s="21"/>
      <c r="BG986" s="21"/>
      <c r="BI986" s="20"/>
      <c r="BJ986" s="20"/>
      <c r="BK986" s="20"/>
      <c r="BL986" s="20"/>
      <c r="BM986" s="7"/>
      <c r="BN986" s="7"/>
    </row>
    <row r="987">
      <c r="AE987" s="14"/>
      <c r="AZ987" s="21"/>
      <c r="BA987" s="21"/>
      <c r="BB987" s="21"/>
      <c r="BC987" s="21"/>
      <c r="BD987" s="21"/>
      <c r="BE987" s="21"/>
      <c r="BF987" s="21"/>
      <c r="BG987" s="21"/>
      <c r="BI987" s="20"/>
      <c r="BJ987" s="20"/>
      <c r="BK987" s="20"/>
      <c r="BL987" s="20"/>
      <c r="BM987" s="7"/>
      <c r="BN987" s="7"/>
    </row>
    <row r="988">
      <c r="AE988" s="14"/>
      <c r="AZ988" s="21"/>
      <c r="BA988" s="21"/>
      <c r="BB988" s="21"/>
      <c r="BC988" s="21"/>
      <c r="BD988" s="21"/>
      <c r="BE988" s="21"/>
      <c r="BF988" s="21"/>
      <c r="BG988" s="21"/>
      <c r="BI988" s="20"/>
      <c r="BJ988" s="20"/>
      <c r="BK988" s="20"/>
      <c r="BL988" s="20"/>
      <c r="BM988" s="7"/>
      <c r="BN988" s="7"/>
    </row>
    <row r="989">
      <c r="AE989" s="14"/>
      <c r="AZ989" s="21"/>
      <c r="BA989" s="21"/>
      <c r="BB989" s="21"/>
      <c r="BC989" s="21"/>
      <c r="BD989" s="21"/>
      <c r="BE989" s="21"/>
      <c r="BF989" s="21"/>
      <c r="BG989" s="21"/>
      <c r="BI989" s="20"/>
      <c r="BJ989" s="20"/>
      <c r="BK989" s="20"/>
      <c r="BL989" s="20"/>
      <c r="BM989" s="7"/>
      <c r="BN989" s="7"/>
    </row>
    <row r="990">
      <c r="AE990" s="14"/>
      <c r="AZ990" s="21"/>
      <c r="BA990" s="21"/>
      <c r="BB990" s="21"/>
      <c r="BC990" s="21"/>
      <c r="BD990" s="21"/>
      <c r="BE990" s="21"/>
      <c r="BF990" s="21"/>
      <c r="BG990" s="21"/>
      <c r="BI990" s="20"/>
      <c r="BJ990" s="20"/>
      <c r="BK990" s="20"/>
      <c r="BL990" s="20"/>
      <c r="BM990" s="7"/>
      <c r="BN990" s="7"/>
    </row>
    <row r="991">
      <c r="AE991" s="14"/>
      <c r="AZ991" s="21"/>
      <c r="BA991" s="21"/>
      <c r="BB991" s="21"/>
      <c r="BC991" s="21"/>
      <c r="BD991" s="21"/>
      <c r="BE991" s="21"/>
      <c r="BF991" s="21"/>
      <c r="BG991" s="21"/>
      <c r="BI991" s="20"/>
      <c r="BJ991" s="20"/>
      <c r="BK991" s="20"/>
      <c r="BL991" s="20"/>
      <c r="BM991" s="7"/>
      <c r="BN991" s="7"/>
    </row>
    <row r="992">
      <c r="AE992" s="14"/>
      <c r="AZ992" s="21"/>
      <c r="BA992" s="21"/>
      <c r="BB992" s="21"/>
      <c r="BC992" s="21"/>
      <c r="BD992" s="21"/>
      <c r="BE992" s="21"/>
      <c r="BF992" s="21"/>
      <c r="BG992" s="21"/>
      <c r="BI992" s="20"/>
      <c r="BJ992" s="20"/>
      <c r="BK992" s="20"/>
      <c r="BL992" s="20"/>
      <c r="BM992" s="7"/>
      <c r="BN992" s="7"/>
    </row>
    <row r="993">
      <c r="AE993" s="14"/>
      <c r="AZ993" s="21"/>
      <c r="BA993" s="21"/>
      <c r="BB993" s="21"/>
      <c r="BC993" s="21"/>
      <c r="BD993" s="21"/>
      <c r="BE993" s="21"/>
      <c r="BF993" s="21"/>
      <c r="BG993" s="21"/>
      <c r="BI993" s="20"/>
      <c r="BJ993" s="20"/>
      <c r="BK993" s="20"/>
      <c r="BL993" s="20"/>
      <c r="BM993" s="7"/>
      <c r="BN993" s="7"/>
    </row>
    <row r="994">
      <c r="AE994" s="14"/>
      <c r="AZ994" s="21"/>
      <c r="BA994" s="21"/>
      <c r="BB994" s="21"/>
      <c r="BC994" s="21"/>
      <c r="BD994" s="21"/>
      <c r="BE994" s="21"/>
      <c r="BF994" s="21"/>
      <c r="BG994" s="21"/>
      <c r="BI994" s="20"/>
      <c r="BJ994" s="20"/>
      <c r="BK994" s="20"/>
      <c r="BL994" s="20"/>
      <c r="BM994" s="7"/>
      <c r="BN994" s="7"/>
    </row>
    <row r="995">
      <c r="AE995" s="14"/>
      <c r="AZ995" s="21"/>
      <c r="BA995" s="21"/>
      <c r="BB995" s="21"/>
      <c r="BC995" s="21"/>
      <c r="BD995" s="21"/>
      <c r="BE995" s="21"/>
      <c r="BF995" s="21"/>
      <c r="BG995" s="21"/>
      <c r="BI995" s="20"/>
      <c r="BJ995" s="20"/>
      <c r="BK995" s="20"/>
      <c r="BL995" s="20"/>
      <c r="BM995" s="7"/>
      <c r="BN995" s="7"/>
    </row>
    <row r="996">
      <c r="AE996" s="14"/>
      <c r="AZ996" s="21"/>
      <c r="BA996" s="21"/>
      <c r="BB996" s="21"/>
      <c r="BC996" s="21"/>
      <c r="BD996" s="21"/>
      <c r="BE996" s="21"/>
      <c r="BF996" s="21"/>
      <c r="BG996" s="21"/>
      <c r="BI996" s="20"/>
      <c r="BJ996" s="20"/>
      <c r="BK996" s="20"/>
      <c r="BL996" s="20"/>
      <c r="BM996" s="7"/>
      <c r="BN996" s="7"/>
    </row>
    <row r="997">
      <c r="AE997" s="14"/>
      <c r="AZ997" s="21"/>
      <c r="BA997" s="21"/>
      <c r="BB997" s="21"/>
      <c r="BC997" s="21"/>
      <c r="BD997" s="21"/>
      <c r="BE997" s="21"/>
      <c r="BF997" s="21"/>
      <c r="BG997" s="21"/>
      <c r="BI997" s="20"/>
      <c r="BJ997" s="20"/>
      <c r="BK997" s="20"/>
      <c r="BL997" s="20"/>
      <c r="BM997" s="7"/>
      <c r="BN997" s="7"/>
    </row>
    <row r="998">
      <c r="AE998" s="14"/>
      <c r="AZ998" s="21"/>
      <c r="BA998" s="21"/>
      <c r="BB998" s="21"/>
      <c r="BC998" s="21"/>
      <c r="BD998" s="21"/>
      <c r="BE998" s="21"/>
      <c r="BF998" s="21"/>
      <c r="BG998" s="21"/>
      <c r="BI998" s="20"/>
      <c r="BJ998" s="20"/>
      <c r="BK998" s="20"/>
      <c r="BL998" s="20"/>
      <c r="BM998" s="7"/>
      <c r="BN998" s="7"/>
    </row>
    <row r="999">
      <c r="AE999" s="14"/>
      <c r="AZ999" s="21"/>
      <c r="BA999" s="21"/>
      <c r="BB999" s="21"/>
      <c r="BC999" s="21"/>
      <c r="BD999" s="21"/>
      <c r="BE999" s="21"/>
      <c r="BF999" s="21"/>
      <c r="BG999" s="21"/>
      <c r="BI999" s="20"/>
      <c r="BJ999" s="20"/>
      <c r="BK999" s="20"/>
      <c r="BL999" s="20"/>
      <c r="BM999" s="7"/>
      <c r="BN999" s="7"/>
    </row>
    <row r="1000">
      <c r="AE1000" s="14"/>
      <c r="AZ1000" s="21"/>
      <c r="BA1000" s="21"/>
      <c r="BB1000" s="21"/>
      <c r="BC1000" s="21"/>
      <c r="BD1000" s="21"/>
      <c r="BE1000" s="21"/>
      <c r="BF1000" s="21"/>
      <c r="BG1000" s="21"/>
      <c r="BI1000" s="20"/>
      <c r="BJ1000" s="20"/>
      <c r="BK1000" s="20"/>
      <c r="BL1000" s="20"/>
      <c r="BM1000" s="7"/>
      <c r="BN1000" s="7"/>
    </row>
  </sheetData>
  <drawing r:id="rId1"/>
</worksheet>
</file>